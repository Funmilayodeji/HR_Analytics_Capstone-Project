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unmilayo.NMDREVSUP\Documents\"/>
    </mc:Choice>
  </mc:AlternateContent>
  <xr:revisionPtr revIDLastSave="0" documentId="8_{1B32299D-189F-4BC8-9645-6F03EE25DA4F}" xr6:coauthVersionLast="47" xr6:coauthVersionMax="47" xr10:uidLastSave="{00000000-0000-0000-0000-000000000000}"/>
  <bookViews>
    <workbookView xWindow="-120" yWindow="-120" windowWidth="20730" windowHeight="11160" firstSheet="1" activeTab="2" xr2:uid="{00000000-000D-0000-FFFF-FFFF00000000}"/>
  </bookViews>
  <sheets>
    <sheet name="Lookup_Departments" sheetId="2" r:id="rId1"/>
    <sheet name="Raw_Employee_Data" sheetId="1" r:id="rId2"/>
    <sheet name="Clean Data" sheetId="4" r:id="rId3"/>
    <sheet name="Analysis" sheetId="7" r:id="rId4"/>
    <sheet name="HR Dashboard" sheetId="9" r:id="rId5"/>
    <sheet name="Lookup_Performance" sheetId="3" r:id="rId6"/>
  </sheets>
  <definedNames>
    <definedName name="_xlnm._FilterDatabase" localSheetId="2" hidden="1">'Clean Data'!$B$1:$O$1</definedName>
    <definedName name="_xlnm._FilterDatabase" localSheetId="1" hidden="1">Raw_Employee_Data!$B$1:$W$158</definedName>
    <definedName name="Averagesalary">Analysis!$B$2</definedName>
    <definedName name="HEADCOUNT">Analysis!$A$2</definedName>
    <definedName name="Left">Analysis!$K$15</definedName>
    <definedName name="rate">Analysis!$D$12</definedName>
    <definedName name="resigned">Analysis!$K$20</definedName>
    <definedName name="Slicer_Department_Name">#N/A</definedName>
    <definedName name="Slicer_Employment_Status">#N/A</definedName>
    <definedName name="Slicer_Performance_Band">#N/A</definedName>
    <definedName name="Slicer_Years">#N/A</definedName>
  </definedNames>
  <calcPr calcId="191029"/>
  <pivotCaches>
    <pivotCache cacheId="5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2" i="7" l="1"/>
  <c r="P5" i="1"/>
  <c r="Q5" i="1" s="1"/>
  <c r="P3" i="1"/>
  <c r="Q3" i="1" s="1"/>
  <c r="P4" i="1"/>
  <c r="Q4"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2" i="1"/>
  <c r="Q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2" i="1"/>
  <c r="V3" i="1" l="1"/>
  <c r="W3" i="1" s="1"/>
  <c r="V4" i="1"/>
  <c r="W4" i="1" s="1"/>
  <c r="V5" i="1"/>
  <c r="W5" i="1" s="1"/>
  <c r="V6" i="1"/>
  <c r="W6" i="1" s="1"/>
  <c r="V7" i="1"/>
  <c r="W7" i="1" s="1"/>
  <c r="V8" i="1"/>
  <c r="W8" i="1" s="1"/>
  <c r="V9" i="1"/>
  <c r="W9" i="1" s="1"/>
  <c r="V10" i="1"/>
  <c r="W10" i="1" s="1"/>
  <c r="V11" i="1"/>
  <c r="W11" i="1" s="1"/>
  <c r="V12" i="1"/>
  <c r="W12" i="1" s="1"/>
  <c r="V13" i="1"/>
  <c r="W13" i="1" s="1"/>
  <c r="V14" i="1"/>
  <c r="W14" i="1" s="1"/>
  <c r="V15" i="1"/>
  <c r="W15" i="1" s="1"/>
  <c r="V16" i="1"/>
  <c r="W16" i="1" s="1"/>
  <c r="V17" i="1"/>
  <c r="W17" i="1" s="1"/>
  <c r="V18" i="1"/>
  <c r="W18"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s="1"/>
  <c r="V83" i="1"/>
  <c r="W83" i="1" s="1"/>
  <c r="V84" i="1"/>
  <c r="W84" i="1" s="1"/>
  <c r="V85" i="1"/>
  <c r="W85" i="1" s="1"/>
  <c r="V86" i="1"/>
  <c r="W86" i="1" s="1"/>
  <c r="V87" i="1"/>
  <c r="W87" i="1" s="1"/>
  <c r="V88" i="1"/>
  <c r="W88" i="1" s="1"/>
  <c r="V89" i="1"/>
  <c r="W89" i="1" s="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V102" i="1"/>
  <c r="W102" i="1" s="1"/>
  <c r="V103" i="1"/>
  <c r="W103" i="1" s="1"/>
  <c r="V104" i="1"/>
  <c r="W104" i="1" s="1"/>
  <c r="V105" i="1"/>
  <c r="W105" i="1" s="1"/>
  <c r="V106" i="1"/>
  <c r="W106" i="1" s="1"/>
  <c r="V107" i="1"/>
  <c r="W107" i="1" s="1"/>
  <c r="V108" i="1"/>
  <c r="W108" i="1" s="1"/>
  <c r="V109" i="1"/>
  <c r="W109" i="1" s="1"/>
  <c r="V110" i="1"/>
  <c r="W110" i="1" s="1"/>
  <c r="V111" i="1"/>
  <c r="W111" i="1" s="1"/>
  <c r="V112" i="1"/>
  <c r="W112" i="1" s="1"/>
  <c r="V113" i="1"/>
  <c r="W113" i="1" s="1"/>
  <c r="V114" i="1"/>
  <c r="W114" i="1" s="1"/>
  <c r="V115" i="1"/>
  <c r="W115" i="1" s="1"/>
  <c r="V116" i="1"/>
  <c r="W116" i="1" s="1"/>
  <c r="V117" i="1"/>
  <c r="W117" i="1" s="1"/>
  <c r="V118" i="1"/>
  <c r="W118" i="1" s="1"/>
  <c r="V119" i="1"/>
  <c r="W119" i="1" s="1"/>
  <c r="V120" i="1"/>
  <c r="W120" i="1" s="1"/>
  <c r="V121" i="1"/>
  <c r="W121" i="1" s="1"/>
  <c r="V122" i="1"/>
  <c r="W122" i="1" s="1"/>
  <c r="V123" i="1"/>
  <c r="W123" i="1" s="1"/>
  <c r="V124" i="1"/>
  <c r="W124" i="1" s="1"/>
  <c r="V125" i="1"/>
  <c r="W125" i="1" s="1"/>
  <c r="V126" i="1"/>
  <c r="W126" i="1" s="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W146" i="1" s="1"/>
  <c r="V147" i="1"/>
  <c r="W147" i="1" s="1"/>
  <c r="V148" i="1"/>
  <c r="W148" i="1" s="1"/>
  <c r="V149" i="1"/>
  <c r="W149" i="1" s="1"/>
  <c r="V150" i="1"/>
  <c r="W150" i="1" s="1"/>
  <c r="V151" i="1"/>
  <c r="W151" i="1" s="1"/>
  <c r="V152" i="1"/>
  <c r="V153" i="1"/>
  <c r="V154" i="1"/>
  <c r="V155" i="1"/>
  <c r="V156" i="1"/>
  <c r="V157" i="1"/>
  <c r="V158" i="1"/>
  <c r="V2" i="1"/>
  <c r="W2" i="1" s="1"/>
  <c r="I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2" i="1"/>
  <c r="K2" i="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2" i="1"/>
  <c r="S2" i="1" s="1"/>
</calcChain>
</file>

<file path=xl/sharedStrings.xml><?xml version="1.0" encoding="utf-8"?>
<sst xmlns="http://schemas.openxmlformats.org/spreadsheetml/2006/main" count="2535" uniqueCount="362">
  <si>
    <t>Emp ID</t>
  </si>
  <si>
    <t>First_Name</t>
  </si>
  <si>
    <t>Last_Name</t>
  </si>
  <si>
    <t>Dept Code</t>
  </si>
  <si>
    <t>Hire Date</t>
  </si>
  <si>
    <t>Salary</t>
  </si>
  <si>
    <t>Perf_Score</t>
  </si>
  <si>
    <t>Employment Status</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</si>
  <si>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</si>
  <si>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</si>
  <si>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</si>
  <si>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</si>
  <si>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</si>
  <si>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</si>
  <si>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</si>
  <si>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</si>
  <si>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</si>
  <si>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</si>
  <si>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</si>
  <si>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</si>
  <si>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</si>
  <si>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</si>
  <si>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</si>
  <si>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</si>
  <si>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</si>
  <si>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</si>
  <si>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</si>
  <si>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</si>
  <si>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</si>
  <si>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</si>
  <si>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</si>
  <si>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</si>
  <si>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</si>
  <si>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</si>
  <si>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</si>
  <si>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</si>
  <si>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</si>
  <si>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</si>
  <si>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</si>
  <si>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</si>
  <si>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</si>
  <si>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</si>
  <si>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</si>
  <si>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</si>
  <si>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</si>
  <si>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</si>
  <si>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</si>
  <si>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</si>
  <si>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</si>
  <si>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</si>
  <si>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</si>
  <si>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</si>
  <si>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</si>
  <si>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</si>
  <si>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</si>
  <si>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</si>
  <si>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</si>
  <si>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</si>
  <si>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</si>
  <si>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</si>
  <si>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</si>
  <si>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</si>
  <si>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</si>
  <si>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</si>
  <si>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</si>
  <si>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</si>
  <si>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</si>
  <si>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</si>
  <si>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</si>
  <si>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</si>
  <si>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</si>
  <si>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</si>
  <si>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</si>
  <si>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</si>
  <si>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</si>
  <si>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</si>
  <si>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</si>
  <si>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</si>
  <si>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</si>
  <si>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</si>
  <si>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</si>
  <si>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</si>
  <si>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</si>
  <si>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</si>
  <si>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</si>
  <si>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</si>
  <si>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</si>
  <si>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</si>
  <si>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</si>
  <si>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</si>
  <si>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</si>
  <si>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</si>
  <si>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</si>
  <si>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</si>
  <si>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</si>
  <si>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</si>
  <si>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</si>
  <si>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</si>
  <si>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</si>
  <si>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</si>
  <si>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</si>
  <si>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</si>
  <si>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</si>
  <si>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</si>
  <si>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</si>
  <si>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</si>
  <si>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</si>
  <si>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</si>
  <si>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</si>
  <si>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</si>
  <si>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</si>
  <si>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</si>
  <si>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</si>
  <si>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</si>
  <si>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</si>
  <si>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</si>
  <si>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</si>
  <si>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</si>
  <si>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</si>
  <si>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</si>
  <si>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</si>
  <si>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</si>
  <si>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</si>
  <si>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</si>
  <si>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</si>
  <si>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</si>
  <si>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</si>
  <si>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</si>
  <si>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</si>
  <si>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</si>
  <si>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</si>
  <si>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</si>
  <si>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</si>
  <si>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</si>
  <si>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</si>
  <si>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</si>
  <si>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</si>
  <si>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</si>
  <si>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</si>
  <si>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</si>
  <si>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</si>
  <si>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</si>
  <si>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</si>
  <si>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</si>
  <si>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</si>
  <si>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</si>
  <si>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</si>
  <si>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</si>
  <si>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</si>
  <si>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</si>
  <si>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</si>
  <si>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</si>
  <si>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</si>
  <si>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</si>
  <si>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</si>
  <si>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</si>
  <si>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</si>
  <si>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</si>
  <si>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</si>
  <si>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</si>
  <si>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</si>
  <si>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</si>
  <si>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</si>
  <si>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</si>
  <si>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</si>
  <si>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</si>
  <si>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</si>
  <si>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</si>
  <si>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</si>
  <si>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</si>
  <si>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</si>
  <si>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</si>
  <si>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</si>
  <si>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</si>
  <si>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</si>
  <si>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</si>
  <si>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</si>
  <si>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</si>
  <si>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</si>
  <si>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</si>
  <si>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</si>
  <si>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</si>
  <si>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</si>
  <si>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</si>
  <si>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</si>
  <si>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</si>
  <si>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</si>
  <si>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</si>
  <si>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</si>
  <si>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</si>
  <si>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</si>
  <si>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</si>
  <si>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</si>
  <si>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</si>
  <si>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</si>
  <si>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</si>
  <si>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</si>
  <si>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</si>
  <si>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</si>
  <si>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</si>
  <si>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</si>
  <si>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</si>
  <si>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</si>
  <si>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</si>
  <si>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</si>
  <si>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</si>
  <si>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</si>
  <si>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</si>
  <si>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</si>
  <si>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</si>
  <si>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</si>
  <si>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</si>
  <si>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</si>
  <si>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</si>
  <si>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Emily Brown</t>
  </si>
  <si>
    <t>Richard Hernandez</t>
  </si>
  <si>
    <t>Emily Gonzalez</t>
  </si>
  <si>
    <t>John Martinez</t>
  </si>
  <si>
    <t>Thomas Smith</t>
  </si>
  <si>
    <t>Emily Johnson</t>
  </si>
  <si>
    <t>John Wilson</t>
  </si>
  <si>
    <t>Jessica Smith</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</si>
  <si>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</si>
  <si>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</si>
  <si>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</si>
  <si>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</si>
  <si>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</si>
  <si>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</si>
  <si>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</si>
  <si>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</si>
  <si>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</si>
  <si>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</si>
  <si>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</si>
  <si>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</si>
  <si>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</si>
  <si>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</si>
  <si>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</si>
  <si>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Michael Wilson</t>
  </si>
  <si>
    <t>John Rodriguez</t>
  </si>
  <si>
    <t>Thomas Hernandez</t>
  </si>
  <si>
    <t>Michael Johnson</t>
  </si>
  <si>
    <t>Sarah Brown</t>
  </si>
  <si>
    <t>Jane Martinez</t>
  </si>
  <si>
    <t>Emily Jones</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</si>
  <si>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</si>
  <si>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</si>
  <si>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</si>
  <si>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</si>
  <si>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</si>
  <si>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</si>
  <si>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</si>
  <si>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</si>
  <si>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</si>
  <si>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</si>
  <si>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</si>
  <si>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</si>
  <si>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</si>
  <si>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</si>
  <si>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</si>
  <si>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</si>
  <si>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</si>
  <si>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</si>
  <si>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</si>
  <si>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</si>
  <si>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</si>
  <si>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</si>
  <si>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</si>
  <si>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</si>
  <si>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</si>
  <si>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</si>
  <si>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</si>
  <si>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</si>
  <si>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</si>
  <si>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</si>
  <si>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</si>
  <si>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</si>
  <si>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</si>
  <si>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</si>
  <si>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</si>
  <si>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</si>
  <si>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</si>
  <si>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</si>
  <si>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</si>
  <si>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</si>
  <si>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</si>
  <si>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</si>
  <si>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</si>
  <si>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</si>
  <si>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</si>
  <si>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</si>
  <si>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</si>
  <si>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</si>
  <si>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</si>
  <si>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</si>
  <si>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</si>
  <si>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</si>
  <si>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</si>
  <si>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</si>
  <si>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</si>
  <si>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</si>
  <si>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</si>
  <si>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</si>
  <si>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</si>
  <si>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</si>
  <si>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</si>
  <si>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</si>
  <si>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</si>
  <si>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</si>
  <si>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</si>
  <si>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</si>
  <si>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</si>
  <si>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</si>
  <si>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</si>
  <si>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</si>
  <si>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</si>
  <si>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William Rodriguez</t>
  </si>
  <si>
    <t>Melissa Miller</t>
  </si>
  <si>
    <t>Emily Martinez</t>
  </si>
  <si>
    <t>Full Name</t>
  </si>
  <si>
    <t>Rodriguez Rodriguez</t>
  </si>
  <si>
    <t>First_Name Last_Name</t>
  </si>
  <si>
    <t>Williams Williams</t>
  </si>
  <si>
    <t>Brown Brown</t>
  </si>
  <si>
    <t>Smith Smith</t>
  </si>
  <si>
    <t>Jones Jones</t>
  </si>
  <si>
    <t/>
  </si>
  <si>
    <t>Department Name</t>
  </si>
  <si>
    <t>Year of Service</t>
  </si>
  <si>
    <t>Performance Band</t>
  </si>
  <si>
    <t>gible Bonus %</t>
  </si>
  <si>
    <t>Eligible Bonus Amount</t>
  </si>
  <si>
    <t>0.02</t>
  </si>
  <si>
    <t>0</t>
  </si>
  <si>
    <t>0.05</t>
  </si>
  <si>
    <t>0.08</t>
  </si>
  <si>
    <t>0.12</t>
  </si>
  <si>
    <t>Eligible Bonus %</t>
  </si>
  <si>
    <t>Grand Total</t>
  </si>
  <si>
    <t>Column Labels</t>
  </si>
  <si>
    <t xml:space="preserve">Total HeadCount </t>
  </si>
  <si>
    <t>Average of Salary</t>
  </si>
  <si>
    <t xml:space="preserve"> Employment Status</t>
  </si>
  <si>
    <t>Attrittion Rate</t>
  </si>
  <si>
    <t xml:space="preserve"> Eligible Bonus Amount</t>
  </si>
  <si>
    <t>Sum of Perf_Score</t>
  </si>
  <si>
    <t>Sum of Perf_Score2</t>
  </si>
  <si>
    <t>Active Total</t>
  </si>
  <si>
    <t>Left Total</t>
  </si>
  <si>
    <t>Resigned Total</t>
  </si>
  <si>
    <t>Average of Perf_Score</t>
  </si>
  <si>
    <t>2015</t>
  </si>
  <si>
    <t>2016</t>
  </si>
  <si>
    <t>2017</t>
  </si>
  <si>
    <t>2018</t>
  </si>
  <si>
    <t>2019</t>
  </si>
  <si>
    <t>2020</t>
  </si>
  <si>
    <t>2021</t>
  </si>
  <si>
    <t>2022</t>
  </si>
  <si>
    <t>2023</t>
  </si>
  <si>
    <t xml:space="preserve"> Salary per Year</t>
  </si>
  <si>
    <t>Overall attrition</t>
  </si>
  <si>
    <t>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</si>
</sst>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1009]#,##0.00;[Red][$$-1009]#,##0.00"/>
    <numFmt numFmtId="169" formatCode="[$$-1009]#,##0;[Red][$$-1009]#,##0"/>
    <numFmt numFmtId="175" formatCode="0.0"/>
    <numFmt numFmtId="181" formatCode="[$$-1009]#,##0.00"/>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1" fillId="0" borderId="1" xfId="0" applyNumberFormat="1" applyFont="1" applyBorder="1" applyAlignment="1">
      <alignment horizontal="center" vertical="top"/>
    </xf>
    <xf numFmtId="0" fontId="0" fillId="0" borderId="0" xfId="0" applyNumberFormat="1"/>
    <xf numFmtId="14" fontId="0" fillId="0" borderId="0" xfId="0" applyNumberFormat="1"/>
    <xf numFmtId="14" fontId="1" fillId="0" borderId="1" xfId="0" applyNumberFormat="1" applyFont="1" applyBorder="1" applyAlignment="1">
      <alignment horizontal="center" vertical="top"/>
    </xf>
    <xf numFmtId="167" fontId="0" fillId="0" borderId="0" xfId="0" applyNumberFormat="1"/>
    <xf numFmtId="169" fontId="1" fillId="0" borderId="1" xfId="0" applyNumberFormat="1" applyFont="1" applyBorder="1" applyAlignment="1">
      <alignment horizontal="center" vertical="top"/>
    </xf>
    <xf numFmtId="169" fontId="0" fillId="0" borderId="0" xfId="0" applyNumberFormat="1"/>
    <xf numFmtId="2" fontId="0" fillId="0" borderId="0" xfId="0" applyNumberFormat="1"/>
    <xf numFmtId="175" fontId="0" fillId="0" borderId="0" xfId="0" applyNumberFormat="1"/>
    <xf numFmtId="1" fontId="0" fillId="0" borderId="0" xfId="0" applyNumberFormat="1"/>
    <xf numFmtId="0" fontId="1" fillId="0" borderId="0" xfId="0" applyFont="1" applyBorder="1" applyAlignment="1">
      <alignment horizontal="center" vertical="top"/>
    </xf>
    <xf numFmtId="167" fontId="1" fillId="0" borderId="0" xfId="0" applyNumberFormat="1" applyFont="1" applyBorder="1" applyAlignment="1">
      <alignment horizontal="center" vertical="top"/>
    </xf>
    <xf numFmtId="0" fontId="2" fillId="0" borderId="0" xfId="0" applyFont="1"/>
    <xf numFmtId="14" fontId="2" fillId="0" borderId="0" xfId="0" applyNumberFormat="1" applyFont="1"/>
    <xf numFmtId="169" fontId="2" fillId="0" borderId="0" xfId="0" applyNumberFormat="1" applyFont="1"/>
    <xf numFmtId="1" fontId="2" fillId="0" borderId="0" xfId="0" applyNumberFormat="1" applyFont="1"/>
    <xf numFmtId="2" fontId="2" fillId="0" borderId="0" xfId="0" applyNumberFormat="1" applyFont="1"/>
    <xf numFmtId="0" fontId="0" fillId="0" borderId="0" xfId="0" pivotButton="1"/>
    <xf numFmtId="0" fontId="0" fillId="0" borderId="0" xfId="0" applyAlignment="1">
      <alignment horizontal="left"/>
    </xf>
    <xf numFmtId="9" fontId="0" fillId="0" borderId="0" xfId="0" applyNumberFormat="1"/>
    <xf numFmtId="0" fontId="0" fillId="0" borderId="1" xfId="0" pivotButton="1" applyBorder="1"/>
    <xf numFmtId="0" fontId="0" fillId="0" borderId="1" xfId="0" applyBorder="1"/>
    <xf numFmtId="10" fontId="0" fillId="0" borderId="1" xfId="0" applyNumberFormat="1" applyBorder="1"/>
    <xf numFmtId="0" fontId="0" fillId="0" borderId="1" xfId="0" applyNumberFormat="1" applyBorder="1"/>
    <xf numFmtId="9" fontId="0" fillId="0" borderId="1" xfId="0" applyNumberFormat="1" applyBorder="1"/>
    <xf numFmtId="181" fontId="0" fillId="0" borderId="0" xfId="0" applyNumberFormat="1"/>
  </cellXfs>
  <cellStyles count="1">
    <cellStyle name="Normal" xfId="0" builtinId="0"/>
  </cellStyles>
  <dxfs count="98">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numFmt numFmtId="13" formatCode="0%"/>
    </dxf>
    <dxf>
      <numFmt numFmtId="13" formatCode="0%"/>
    </dxf>
    <dxf>
      <numFmt numFmtId="167" formatCode="[$$-1009]#,##0.00;[Red][$$-1009]#,##0.00"/>
    </dxf>
    <dxf>
      <numFmt numFmtId="169" formatCode="[$$-1009]#,##0;[Red][$$-10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numFmt numFmtId="13" formatCode="0%"/>
    </dxf>
    <dxf>
      <numFmt numFmtId="13" formatCode="0%"/>
    </dxf>
    <dxf>
      <numFmt numFmtId="181" formatCode="[$$-1009]#,##0.00"/>
    </dxf>
    <dxf>
      <numFmt numFmtId="175" formatCode="0.0"/>
    </dxf>
    <dxf>
      <numFmt numFmtId="169" formatCode="[$$-1009]#,##0;[Red][$$-1009]#,##0"/>
    </dxf>
    <dxf>
      <numFmt numFmtId="1" formatCode="0"/>
    </dxf>
    <dxf>
      <numFmt numFmtId="1" formatCode="0"/>
    </dxf>
    <dxf>
      <numFmt numFmtId="1" formatCode="0"/>
    </dxf>
    <dxf>
      <numFmt numFmtId="13" formatCode="0%"/>
    </dxf>
    <dxf>
      <numFmt numFmtId="167" formatCode="[$$-1009]#,##0.00;[Red][$$-1009]#,##0.00"/>
    </dxf>
    <dxf>
      <numFmt numFmtId="169" formatCode="[$$-1009]#,##0;[Red][$$-10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numFmt numFmtId="13" formatCode="0%"/>
    </dxf>
    <dxf>
      <numFmt numFmtId="13" formatCode="0%"/>
    </dxf>
    <dxf>
      <numFmt numFmtId="167" formatCode="[$$-1009]#,##0.00;[Red][$$-1009]#,##0.00"/>
    </dxf>
    <dxf>
      <numFmt numFmtId="2" formatCode="0.00"/>
    </dxf>
    <dxf>
      <font>
        <b/>
        <i val="0"/>
        <strike val="0"/>
        <condense val="0"/>
        <extend val="0"/>
        <outline val="0"/>
        <shadow val="0"/>
        <u val="none"/>
        <vertAlign val="baseline"/>
        <sz val="11"/>
        <color theme="1"/>
        <name val="Calibri"/>
        <family val="2"/>
        <scheme val="minor"/>
      </font>
    </dxf>
    <dxf>
      <numFmt numFmtId="1" formatCode="0"/>
    </dxf>
    <dxf>
      <numFmt numFmtId="169" formatCode="[$$-1009]#,##0;[Red][$$-1009]#,##0"/>
    </dxf>
    <dxf>
      <numFmt numFmtId="19" formatCode="dd/mm/yyyy"/>
    </dxf>
  </dxfs>
  <tableStyles count="0" defaultTableStyle="TableStyleMedium9" defaultPivotStyle="PivotStyleLight16"/>
  <colors>
    <mruColors>
      <color rgb="FF378D87"/>
      <color rgb="FF1F514D"/>
      <color rgb="FF1C4D5A"/>
      <color rgb="FF0B1B1A"/>
      <color rgb="FF39938D"/>
      <color rgb="FFCBEBE9"/>
      <color rgb="FF9ABB59"/>
      <color rgb="FFA3C167"/>
      <color rgb="FFBBD18F"/>
      <color rgb="FF5A70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 ADEDEJI FUNMILAYO.xlsx]Analysis!PivotTable7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Attrittion Rate</a:t>
            </a:r>
            <a:r>
              <a:rPr lang="en-US" baseline="0"/>
              <a:t> Of Employee Left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50800" dist="38100" dir="5400000" algn="t" rotWithShape="0">
              <a:prstClr val="black">
                <a:alpha val="40000"/>
              </a:prstClr>
            </a:outerShdw>
          </a:effectLst>
        </c:spPr>
      </c:pivotFmt>
      <c:pivotFmt>
        <c:idx val="3"/>
        <c:spPr>
          <a:solidFill>
            <a:schemeClr val="accent3">
              <a:lumMod val="50000"/>
            </a:schemeClr>
          </a:solidFill>
          <a:ln>
            <a:noFill/>
          </a:ln>
          <a:effectLst>
            <a:outerShdw blurRad="50800" dist="38100" dir="5400000" algn="t" rotWithShape="0">
              <a:prstClr val="black">
                <a:alpha val="40000"/>
              </a:prstClr>
            </a:outerShdw>
          </a:effectLst>
        </c:spPr>
      </c:pivotFmt>
      <c:pivotFmt>
        <c:idx val="4"/>
        <c:spPr>
          <a:solidFill>
            <a:schemeClr val="accent3">
              <a:lumMod val="75000"/>
            </a:schemeClr>
          </a:solidFill>
          <a:ln>
            <a:noFill/>
          </a:ln>
          <a:effectLst>
            <a:outerShdw blurRad="50800" dist="38100" dir="5400000" algn="t" rotWithShape="0">
              <a:prstClr val="black">
                <a:alpha val="40000"/>
              </a:prstClr>
            </a:outerShdw>
          </a:effectLst>
        </c:spPr>
      </c:pivotFmt>
      <c:pivotFmt>
        <c:idx val="5"/>
        <c:spPr>
          <a:solidFill>
            <a:schemeClr val="accent3">
              <a:lumMod val="60000"/>
              <a:lumOff val="40000"/>
            </a:schemeClr>
          </a:solidFill>
          <a:ln>
            <a:noFill/>
          </a:ln>
          <a:effectLst>
            <a:outerShdw blurRad="50800" dist="38100" dir="5400000" algn="t" rotWithShape="0">
              <a:prstClr val="black">
                <a:alpha val="40000"/>
              </a:prstClr>
            </a:outerShdw>
          </a:effectLst>
        </c:spPr>
        <c:dLbl>
          <c:idx val="0"/>
          <c:layout>
            <c:manualLayout>
              <c:x val="0"/>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a:outerShdw blurRad="50800" dist="38100" dir="5400000" algn="t" rotWithShape="0">
              <a:prstClr val="black">
                <a:alpha val="40000"/>
              </a:prstClr>
            </a:outerShdw>
          </a:effectLst>
        </c:spPr>
        <c:dLbl>
          <c:idx val="0"/>
          <c:layout>
            <c:manualLayout>
              <c:x val="0"/>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a:outerShdw blurRad="50800" dist="38100" dir="5400000" algn="t" rotWithShape="0">
              <a:prstClr val="black">
                <a:alpha val="40000"/>
              </a:prstClr>
            </a:outerShdw>
          </a:effectLst>
        </c:spPr>
      </c:pivotFmt>
      <c:pivotFmt>
        <c:idx val="8"/>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a:outerShdw blurRad="50800" dist="38100" dir="5400000" algn="t" rotWithShape="0">
              <a:prstClr val="black">
                <a:alpha val="40000"/>
              </a:prstClr>
            </a:outerShdw>
          </a:effectLst>
        </c:spPr>
      </c:pivotFmt>
      <c:pivotFmt>
        <c:idx val="10"/>
        <c:spPr>
          <a:solidFill>
            <a:schemeClr val="accent3">
              <a:lumMod val="50000"/>
            </a:schemeClr>
          </a:solidFill>
          <a:ln>
            <a:noFill/>
          </a:ln>
          <a:effectLst>
            <a:outerShdw blurRad="50800" dist="38100" dir="5400000" algn="t" rotWithShape="0">
              <a:prstClr val="black">
                <a:alpha val="40000"/>
              </a:prstClr>
            </a:outerShdw>
          </a:effectLst>
        </c:spPr>
      </c:pivotFmt>
      <c:pivotFmt>
        <c:idx val="11"/>
        <c:spPr>
          <a:solidFill>
            <a:schemeClr val="accent3">
              <a:lumMod val="75000"/>
            </a:schemeClr>
          </a:solidFill>
          <a:ln>
            <a:noFill/>
          </a:ln>
          <a:effectLst>
            <a:outerShdw blurRad="50800" dist="38100" dir="5400000" algn="t" rotWithShape="0">
              <a:prstClr val="black">
                <a:alpha val="40000"/>
              </a:prstClr>
            </a:outerShdw>
          </a:effectLst>
        </c:spPr>
      </c:pivotFmt>
      <c:pivotFmt>
        <c:idx val="12"/>
        <c:spPr>
          <a:solidFill>
            <a:schemeClr val="accent3">
              <a:lumMod val="60000"/>
              <a:lumOff val="40000"/>
            </a:schemeClr>
          </a:solidFill>
          <a:ln>
            <a:noFill/>
          </a:ln>
          <a:effectLst>
            <a:outerShdw blurRad="50800" dist="38100" dir="5400000" algn="t" rotWithShape="0">
              <a:prstClr val="black">
                <a:alpha val="40000"/>
              </a:prstClr>
            </a:outerShdw>
          </a:effectLst>
        </c:spPr>
        <c:dLbl>
          <c:idx val="0"/>
          <c:layout>
            <c:manualLayout>
              <c:x val="0"/>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a:outerShdw blurRad="50800" dist="38100" dir="5400000" algn="t" rotWithShape="0">
              <a:prstClr val="black">
                <a:alpha val="40000"/>
              </a:prstClr>
            </a:outerShdw>
          </a:effectLst>
        </c:spPr>
        <c:dLbl>
          <c:idx val="0"/>
          <c:layout>
            <c:manualLayout>
              <c:x val="0"/>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20000"/>
              <a:lumOff val="80000"/>
            </a:schemeClr>
          </a:solidFill>
          <a:ln>
            <a:noFill/>
          </a:ln>
          <a:effectLst>
            <a:outerShdw blurRad="50800" dist="38100" dir="5400000" algn="t" rotWithShape="0">
              <a:prstClr val="black">
                <a:alpha val="40000"/>
              </a:prstClr>
            </a:outerShdw>
          </a:effectLst>
        </c:spPr>
      </c:pivotFmt>
      <c:pivotFmt>
        <c:idx val="15"/>
        <c:spPr>
          <a:solidFill>
            <a:srgbClr val="378D87"/>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78D87"/>
          </a:solidFill>
          <a:ln>
            <a:noFill/>
          </a:ln>
          <a:effectLst>
            <a:outerShdw blurRad="50800" dist="38100" dir="5400000" algn="t" rotWithShape="0">
              <a:prstClr val="black">
                <a:alpha val="40000"/>
              </a:prstClr>
            </a:outerShdw>
          </a:effectLst>
        </c:spPr>
      </c:pivotFmt>
      <c:pivotFmt>
        <c:idx val="17"/>
        <c:spPr>
          <a:solidFill>
            <a:srgbClr val="378D87"/>
          </a:solidFill>
          <a:ln>
            <a:noFill/>
          </a:ln>
          <a:effectLst>
            <a:outerShdw blurRad="50800" dist="38100" dir="5400000" algn="t" rotWithShape="0">
              <a:prstClr val="black">
                <a:alpha val="40000"/>
              </a:prstClr>
            </a:outerShdw>
          </a:effectLst>
        </c:spPr>
      </c:pivotFmt>
      <c:pivotFmt>
        <c:idx val="18"/>
        <c:spPr>
          <a:solidFill>
            <a:srgbClr val="378D87"/>
          </a:solidFill>
          <a:ln>
            <a:noFill/>
          </a:ln>
          <a:effectLst>
            <a:outerShdw blurRad="50800" dist="38100" dir="5400000" algn="t" rotWithShape="0">
              <a:prstClr val="black">
                <a:alpha val="40000"/>
              </a:prstClr>
            </a:outerShdw>
          </a:effectLst>
        </c:spPr>
      </c:pivotFmt>
      <c:pivotFmt>
        <c:idx val="19"/>
        <c:spPr>
          <a:solidFill>
            <a:srgbClr val="378D87"/>
          </a:solidFill>
          <a:ln>
            <a:noFill/>
          </a:ln>
          <a:effectLst>
            <a:outerShdw blurRad="50800" dist="38100" dir="5400000" algn="t" rotWithShape="0">
              <a:prstClr val="black">
                <a:alpha val="40000"/>
              </a:prstClr>
            </a:outerShdw>
          </a:effectLst>
        </c:spPr>
        <c:dLbl>
          <c:idx val="0"/>
          <c:layout>
            <c:manualLayout>
              <c:x val="0"/>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78D87"/>
          </a:solidFill>
          <a:ln>
            <a:noFill/>
          </a:ln>
          <a:effectLst>
            <a:outerShdw blurRad="50800" dist="38100" dir="5400000" algn="t" rotWithShape="0">
              <a:prstClr val="black">
                <a:alpha val="40000"/>
              </a:prstClr>
            </a:outerShdw>
          </a:effectLst>
        </c:spPr>
        <c:dLbl>
          <c:idx val="0"/>
          <c:layout>
            <c:manualLayout>
              <c:x val="0"/>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78D87"/>
          </a:solidFill>
          <a:ln>
            <a:noFill/>
          </a:ln>
          <a:effectLst>
            <a:outerShdw blurRad="50800" dist="38100" dir="5400000" algn="t" rotWithShape="0">
              <a:prstClr val="black">
                <a:alpha val="40000"/>
              </a:prstClr>
            </a:outerShdw>
          </a:effectLst>
        </c:spPr>
      </c:pivotFmt>
    </c:pivotFmts>
    <c:plotArea>
      <c:layout/>
      <c:barChart>
        <c:barDir val="col"/>
        <c:grouping val="clustered"/>
        <c:varyColors val="0"/>
        <c:ser>
          <c:idx val="0"/>
          <c:order val="0"/>
          <c:tx>
            <c:strRef>
              <c:f>Analysis!$B$10:$B$11</c:f>
              <c:strCache>
                <c:ptCount val="1"/>
                <c:pt idx="0">
                  <c:v>Left</c:v>
                </c:pt>
              </c:strCache>
            </c:strRef>
          </c:tx>
          <c:spPr>
            <a:solidFill>
              <a:srgbClr val="378D87"/>
            </a:solidFill>
            <a:ln>
              <a:noFill/>
            </a:ln>
            <a:effectLst>
              <a:outerShdw blurRad="50800" dist="38100" dir="5400000" algn="t" rotWithShape="0">
                <a:prstClr val="black">
                  <a:alpha val="40000"/>
                </a:prstClr>
              </a:outerShdw>
            </a:effectLst>
          </c:spPr>
          <c:invertIfNegative val="0"/>
          <c:dPt>
            <c:idx val="0"/>
            <c:invertIfNegative val="0"/>
            <c:bubble3D val="0"/>
            <c:spPr>
              <a:solidFill>
                <a:srgbClr val="378D87"/>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A7B8-4A83-AE68-2AA9C6B89603}"/>
              </c:ext>
            </c:extLst>
          </c:dPt>
          <c:dPt>
            <c:idx val="1"/>
            <c:invertIfNegative val="0"/>
            <c:bubble3D val="0"/>
            <c:spPr>
              <a:solidFill>
                <a:srgbClr val="378D87"/>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A7B8-4A83-AE68-2AA9C6B89603}"/>
              </c:ext>
            </c:extLst>
          </c:dPt>
          <c:dPt>
            <c:idx val="2"/>
            <c:invertIfNegative val="0"/>
            <c:bubble3D val="0"/>
            <c:spPr>
              <a:solidFill>
                <a:srgbClr val="378D87"/>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A7B8-4A83-AE68-2AA9C6B89603}"/>
              </c:ext>
            </c:extLst>
          </c:dPt>
          <c:dPt>
            <c:idx val="3"/>
            <c:invertIfNegative val="0"/>
            <c:bubble3D val="0"/>
            <c:spPr>
              <a:solidFill>
                <a:srgbClr val="378D87"/>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A7B8-4A83-AE68-2AA9C6B89603}"/>
              </c:ext>
            </c:extLst>
          </c:dPt>
          <c:dPt>
            <c:idx val="4"/>
            <c:invertIfNegative val="0"/>
            <c:bubble3D val="0"/>
            <c:spPr>
              <a:solidFill>
                <a:srgbClr val="378D87"/>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A7B8-4A83-AE68-2AA9C6B89603}"/>
              </c:ext>
            </c:extLst>
          </c:dPt>
          <c:dPt>
            <c:idx val="5"/>
            <c:invertIfNegative val="0"/>
            <c:bubble3D val="0"/>
            <c:spPr>
              <a:solidFill>
                <a:srgbClr val="378D87"/>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B-A7B8-4A83-AE68-2AA9C6B89603}"/>
              </c:ext>
            </c:extLst>
          </c:dPt>
          <c:dLbls>
            <c:dLbl>
              <c:idx val="3"/>
              <c:layout>
                <c:manualLayout>
                  <c:x val="0"/>
                  <c:y val="2.77777777777776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B8-4A83-AE68-2AA9C6B89603}"/>
                </c:ext>
              </c:extLst>
            </c:dLbl>
            <c:dLbl>
              <c:idx val="4"/>
              <c:layout>
                <c:manualLayout>
                  <c:x val="0"/>
                  <c:y val="2.77777777777776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B8-4A83-AE68-2AA9C6B896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Analysis!$A$12:$A$18</c:f>
              <c:strCache>
                <c:ptCount val="6"/>
                <c:pt idx="0">
                  <c:v>Operations</c:v>
                </c:pt>
                <c:pt idx="1">
                  <c:v>Information Technology</c:v>
                </c:pt>
                <c:pt idx="2">
                  <c:v>Sales</c:v>
                </c:pt>
                <c:pt idx="3">
                  <c:v>Finance</c:v>
                </c:pt>
                <c:pt idx="4">
                  <c:v>Marketing</c:v>
                </c:pt>
                <c:pt idx="5">
                  <c:v>Human Resources</c:v>
                </c:pt>
              </c:strCache>
            </c:strRef>
          </c:cat>
          <c:val>
            <c:numRef>
              <c:f>Analysis!$B$12:$B$18</c:f>
              <c:numCache>
                <c:formatCode>0%</c:formatCode>
                <c:ptCount val="6"/>
                <c:pt idx="0">
                  <c:v>0.25</c:v>
                </c:pt>
                <c:pt idx="1">
                  <c:v>0.25</c:v>
                </c:pt>
                <c:pt idx="2">
                  <c:v>0.16666666666666666</c:v>
                </c:pt>
                <c:pt idx="3">
                  <c:v>0.125</c:v>
                </c:pt>
                <c:pt idx="4">
                  <c:v>0.125</c:v>
                </c:pt>
                <c:pt idx="5">
                  <c:v>8.3333333333333329E-2</c:v>
                </c:pt>
              </c:numCache>
            </c:numRef>
          </c:val>
          <c:extLst>
            <c:ext xmlns:c16="http://schemas.microsoft.com/office/drawing/2014/chart" uri="{C3380CC4-5D6E-409C-BE32-E72D297353CC}">
              <c16:uniqueId val="{0000000C-A7B8-4A83-AE68-2AA9C6B89603}"/>
            </c:ext>
          </c:extLst>
        </c:ser>
        <c:dLbls>
          <c:dLblPos val="outEnd"/>
          <c:showLegendKey val="0"/>
          <c:showVal val="1"/>
          <c:showCatName val="0"/>
          <c:showSerName val="0"/>
          <c:showPercent val="0"/>
          <c:showBubbleSize val="0"/>
        </c:dLbls>
        <c:gapWidth val="219"/>
        <c:overlap val="-27"/>
        <c:axId val="30164992"/>
        <c:axId val="30155424"/>
      </c:barChart>
      <c:catAx>
        <c:axId val="3016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155424"/>
        <c:crosses val="autoZero"/>
        <c:auto val="1"/>
        <c:lblAlgn val="ctr"/>
        <c:lblOffset val="100"/>
        <c:noMultiLvlLbl val="0"/>
      </c:catAx>
      <c:valAx>
        <c:axId val="30155424"/>
        <c:scaling>
          <c:orientation val="minMax"/>
        </c:scaling>
        <c:delete val="1"/>
        <c:axPos val="l"/>
        <c:numFmt formatCode="0%" sourceLinked="1"/>
        <c:majorTickMark val="out"/>
        <c:minorTickMark val="none"/>
        <c:tickLblPos val="nextTo"/>
        <c:crossAx val="30164992"/>
        <c:crosses val="autoZero"/>
        <c:crossBetween val="between"/>
      </c:valAx>
      <c:spPr>
        <a:solidFill>
          <a:schemeClr val="accent5">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 ADEDEJI FUNMILAYO.xlsx]Analysis!PivotTable8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Band By Bonus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outerShdw blurRad="50800" dist="38100" dir="5400000" algn="t" rotWithShape="0">
              <a:prstClr val="black">
                <a:alpha val="40000"/>
              </a:prstClr>
            </a:outerShdw>
          </a:effectLst>
        </c:spPr>
      </c:pivotFmt>
      <c:pivotFmt>
        <c:idx val="3"/>
        <c:spPr>
          <a:solidFill>
            <a:schemeClr val="accent3">
              <a:lumMod val="75000"/>
            </a:schemeClr>
          </a:solidFill>
          <a:ln>
            <a:noFill/>
          </a:ln>
          <a:effectLst>
            <a:outerShdw blurRad="50800" dist="38100" dir="5400000" algn="t" rotWithShape="0">
              <a:prstClr val="black">
                <a:alpha val="40000"/>
              </a:prstClr>
            </a:outerShdw>
          </a:effectLst>
        </c:spPr>
      </c:pivotFmt>
      <c:pivotFmt>
        <c:idx val="4"/>
        <c:spPr>
          <a:solidFill>
            <a:schemeClr val="accent3">
              <a:lumMod val="60000"/>
              <a:lumOff val="40000"/>
            </a:schemeClr>
          </a:solidFill>
          <a:ln>
            <a:noFill/>
          </a:ln>
          <a:effectLst>
            <a:outerShdw blurRad="50800" dist="38100" dir="5400000" algn="t" rotWithShape="0">
              <a:prstClr val="black">
                <a:alpha val="40000"/>
              </a:prstClr>
            </a:outerShdw>
          </a:effectLst>
        </c:spPr>
      </c:pivotFmt>
      <c:pivotFmt>
        <c:idx val="5"/>
        <c:spPr>
          <a:solidFill>
            <a:schemeClr val="accent3">
              <a:lumMod val="40000"/>
              <a:lumOff val="60000"/>
            </a:schemeClr>
          </a:solidFill>
          <a:ln>
            <a:noFill/>
          </a:ln>
          <a:effectLst>
            <a:outerShdw blurRad="63500" sx="102000" sy="102000" algn="ctr" rotWithShape="0">
              <a:prstClr val="black">
                <a:alpha val="40000"/>
              </a:prstClr>
            </a:outerShdw>
          </a:effectLst>
        </c:spPr>
      </c:pivotFmt>
      <c:pivotFmt>
        <c:idx val="6"/>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a:outerShdw blurRad="50800" dist="38100" dir="5400000" algn="t" rotWithShape="0">
              <a:prstClr val="black">
                <a:alpha val="40000"/>
              </a:prstClr>
            </a:outerShdw>
          </a:effectLst>
        </c:spPr>
      </c:pivotFmt>
      <c:pivotFmt>
        <c:idx val="8"/>
        <c:spPr>
          <a:solidFill>
            <a:schemeClr val="accent3">
              <a:lumMod val="75000"/>
            </a:schemeClr>
          </a:solidFill>
          <a:ln>
            <a:noFill/>
          </a:ln>
          <a:effectLst>
            <a:outerShdw blurRad="50800" dist="38100" dir="5400000" algn="t" rotWithShape="0">
              <a:prstClr val="black">
                <a:alpha val="40000"/>
              </a:prstClr>
            </a:outerShdw>
          </a:effectLst>
        </c:spPr>
      </c:pivotFmt>
      <c:pivotFmt>
        <c:idx val="9"/>
        <c:spPr>
          <a:solidFill>
            <a:schemeClr val="accent3">
              <a:lumMod val="60000"/>
              <a:lumOff val="40000"/>
            </a:schemeClr>
          </a:solidFill>
          <a:ln>
            <a:noFill/>
          </a:ln>
          <a:effectLst>
            <a:outerShdw blurRad="50800" dist="38100" dir="5400000" algn="t" rotWithShape="0">
              <a:prstClr val="black">
                <a:alpha val="40000"/>
              </a:prstClr>
            </a:outerShdw>
          </a:effectLst>
        </c:spPr>
      </c:pivotFmt>
      <c:pivotFmt>
        <c:idx val="10"/>
        <c:spPr>
          <a:solidFill>
            <a:schemeClr val="accent3">
              <a:lumMod val="40000"/>
              <a:lumOff val="60000"/>
            </a:schemeClr>
          </a:solidFill>
          <a:ln>
            <a:noFill/>
          </a:ln>
          <a:effectLst>
            <a:outerShdw blurRad="63500" sx="102000" sy="102000" algn="ctr" rotWithShape="0">
              <a:prstClr val="black">
                <a:alpha val="40000"/>
              </a:prstClr>
            </a:outerShdw>
          </a:effectLst>
        </c:spPr>
      </c:pivotFmt>
      <c:pivotFmt>
        <c:idx val="1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a:noFill/>
          </a:ln>
          <a:effectLst>
            <a:outerShdw blurRad="50800" dist="38100" dir="5400000" algn="t" rotWithShape="0">
              <a:prstClr val="black">
                <a:alpha val="40000"/>
              </a:prstClr>
            </a:outerShdw>
          </a:effectLst>
        </c:spPr>
      </c:pivotFmt>
      <c:pivotFmt>
        <c:idx val="13"/>
        <c:spPr>
          <a:solidFill>
            <a:schemeClr val="accent5">
              <a:lumMod val="60000"/>
              <a:lumOff val="40000"/>
            </a:schemeClr>
          </a:solidFill>
          <a:ln>
            <a:noFill/>
          </a:ln>
          <a:effectLst>
            <a:outerShdw blurRad="50800" dist="38100" dir="5400000" algn="t" rotWithShape="0">
              <a:prstClr val="black">
                <a:alpha val="40000"/>
              </a:prstClr>
            </a:outerShdw>
          </a:effectLst>
        </c:spPr>
      </c:pivotFmt>
      <c:pivotFmt>
        <c:idx val="14"/>
        <c:spPr>
          <a:solidFill>
            <a:schemeClr val="accent5">
              <a:lumMod val="75000"/>
            </a:schemeClr>
          </a:solidFill>
          <a:ln>
            <a:noFill/>
          </a:ln>
          <a:effectLst>
            <a:outerShdw blurRad="50800" dist="38100" dir="5400000" algn="t" rotWithShape="0">
              <a:prstClr val="black">
                <a:alpha val="40000"/>
              </a:prstClr>
            </a:outerShdw>
          </a:effectLst>
        </c:spPr>
      </c:pivotFmt>
      <c:pivotFmt>
        <c:idx val="15"/>
        <c:spPr>
          <a:solidFill>
            <a:schemeClr val="accent5">
              <a:lumMod val="50000"/>
            </a:schemeClr>
          </a:solidFill>
          <a:ln>
            <a:noFill/>
          </a:ln>
          <a:effectLst>
            <a:outerShdw blurRad="63500" sx="102000" sy="102000" algn="ctr" rotWithShape="0">
              <a:prstClr val="black">
                <a:alpha val="40000"/>
              </a:prstClr>
            </a:outerShdw>
          </a:effectLst>
        </c:spPr>
      </c:pivotFmt>
    </c:pivotFmts>
    <c:plotArea>
      <c:layout/>
      <c:barChart>
        <c:barDir val="bar"/>
        <c:grouping val="clustered"/>
        <c:varyColors val="0"/>
        <c:ser>
          <c:idx val="0"/>
          <c:order val="0"/>
          <c:tx>
            <c:strRef>
              <c:f>Analysis!$G$1</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dPt>
            <c:idx val="1"/>
            <c:invertIfNegative val="0"/>
            <c:bubble3D val="0"/>
            <c:spPr>
              <a:solidFill>
                <a:schemeClr val="accent5">
                  <a:lumMod val="40000"/>
                  <a:lumOff val="6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6938-453C-BACF-874326C2EDE3}"/>
              </c:ext>
            </c:extLst>
          </c:dPt>
          <c:dPt>
            <c:idx val="2"/>
            <c:invertIfNegative val="0"/>
            <c:bubble3D val="0"/>
            <c:spPr>
              <a:solidFill>
                <a:schemeClr val="accent5">
                  <a:lumMod val="60000"/>
                  <a:lumOff val="4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6938-453C-BACF-874326C2EDE3}"/>
              </c:ext>
            </c:extLst>
          </c:dPt>
          <c:dPt>
            <c:idx val="3"/>
            <c:invertIfNegative val="0"/>
            <c:bubble3D val="0"/>
            <c:spPr>
              <a:solidFill>
                <a:schemeClr val="accent5">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6938-453C-BACF-874326C2EDE3}"/>
              </c:ext>
            </c:extLst>
          </c:dPt>
          <c:dPt>
            <c:idx val="4"/>
            <c:invertIfNegative val="0"/>
            <c:bubble3D val="0"/>
            <c:spPr>
              <a:solidFill>
                <a:schemeClr val="accent5">
                  <a:lumMod val="50000"/>
                </a:schemeClr>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6938-453C-BACF-874326C2ED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Analysis!$F$2:$F$7</c:f>
              <c:strCache>
                <c:ptCount val="5"/>
                <c:pt idx="0">
                  <c:v>Needs Improvement</c:v>
                </c:pt>
                <c:pt idx="1">
                  <c:v>Outstanding</c:v>
                </c:pt>
                <c:pt idx="2">
                  <c:v>Developing</c:v>
                </c:pt>
                <c:pt idx="3">
                  <c:v>Achieving</c:v>
                </c:pt>
                <c:pt idx="4">
                  <c:v>Exceeding</c:v>
                </c:pt>
              </c:strCache>
            </c:strRef>
          </c:cat>
          <c:val>
            <c:numRef>
              <c:f>Analysis!$G$2:$G$7</c:f>
              <c:numCache>
                <c:formatCode>[$$-1009]#,##0;[Red][$$-1009]#,##0</c:formatCode>
                <c:ptCount val="5"/>
                <c:pt idx="0">
                  <c:v>0</c:v>
                </c:pt>
                <c:pt idx="1">
                  <c:v>75846.12</c:v>
                </c:pt>
                <c:pt idx="2">
                  <c:v>84665.580000000031</c:v>
                </c:pt>
                <c:pt idx="3">
                  <c:v>154412.05000000002</c:v>
                </c:pt>
                <c:pt idx="4">
                  <c:v>155733.04</c:v>
                </c:pt>
              </c:numCache>
            </c:numRef>
          </c:val>
          <c:extLst>
            <c:ext xmlns:c16="http://schemas.microsoft.com/office/drawing/2014/chart" uri="{C3380CC4-5D6E-409C-BE32-E72D297353CC}">
              <c16:uniqueId val="{00000008-6938-453C-BACF-874326C2EDE3}"/>
            </c:ext>
          </c:extLst>
        </c:ser>
        <c:dLbls>
          <c:dLblPos val="outEnd"/>
          <c:showLegendKey val="0"/>
          <c:showVal val="1"/>
          <c:showCatName val="0"/>
          <c:showSerName val="0"/>
          <c:showPercent val="0"/>
          <c:showBubbleSize val="0"/>
        </c:dLbls>
        <c:gapWidth val="182"/>
        <c:axId val="30154592"/>
        <c:axId val="30155008"/>
      </c:barChart>
      <c:catAx>
        <c:axId val="3015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155008"/>
        <c:crosses val="autoZero"/>
        <c:auto val="1"/>
        <c:lblAlgn val="ctr"/>
        <c:lblOffset val="100"/>
        <c:noMultiLvlLbl val="0"/>
      </c:catAx>
      <c:valAx>
        <c:axId val="30155008"/>
        <c:scaling>
          <c:orientation val="minMax"/>
        </c:scaling>
        <c:delete val="1"/>
        <c:axPos val="b"/>
        <c:numFmt formatCode="[$$-1009]#,##0;[Red][$$-1009]#,##0" sourceLinked="1"/>
        <c:majorTickMark val="out"/>
        <c:minorTickMark val="none"/>
        <c:tickLblPos val="nextTo"/>
        <c:crossAx val="3015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 ADEDEJI FUNMILAYO.xlsx]Analysis!PivotTable10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Perf_Score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w="19050">
            <a:solidFill>
              <a:schemeClr val="lt1"/>
            </a:solidFill>
          </a:ln>
          <a:effectLst/>
        </c:spPr>
      </c:pivotFmt>
      <c:pivotFmt>
        <c:idx val="3"/>
        <c:spPr>
          <a:solidFill>
            <a:schemeClr val="accent3">
              <a:lumMod val="60000"/>
              <a:lumOff val="40000"/>
            </a:schemeClr>
          </a:solidFill>
          <a:ln w="19050">
            <a:noFill/>
          </a:ln>
          <a:effectLst>
            <a:outerShdw blurRad="50800" dist="38100" dir="5400000" algn="t" rotWithShape="0">
              <a:prstClr val="black">
                <a:alpha val="40000"/>
              </a:prstClr>
            </a:outerShdw>
          </a:effectLst>
        </c:spPr>
      </c:pivotFmt>
      <c:pivotFmt>
        <c:idx val="4"/>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w="19050">
            <a:solidFill>
              <a:schemeClr val="lt1"/>
            </a:solidFill>
          </a:ln>
          <a:effectLst/>
        </c:spPr>
      </c:pivotFmt>
      <c:pivotFmt>
        <c:idx val="6"/>
        <c:spPr>
          <a:solidFill>
            <a:schemeClr val="accent3">
              <a:lumMod val="60000"/>
              <a:lumOff val="40000"/>
            </a:schemeClr>
          </a:solidFill>
          <a:ln w="19050">
            <a:noFill/>
          </a:ln>
          <a:effectLst>
            <a:outerShdw blurRad="50800" dist="38100" dir="5400000" algn="t" rotWithShape="0">
              <a:prstClr val="black">
                <a:alpha val="40000"/>
              </a:prstClr>
            </a:outerShdw>
          </a:effectLst>
        </c:spPr>
      </c:pivotFmt>
      <c:pivotFmt>
        <c:idx val="7"/>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19050">
            <a:solidFill>
              <a:schemeClr val="lt1"/>
            </a:solidFill>
          </a:ln>
          <a:effectLst/>
        </c:spPr>
      </c:pivotFmt>
      <c:pivotFmt>
        <c:idx val="9"/>
        <c:spPr>
          <a:solidFill>
            <a:schemeClr val="accent5">
              <a:lumMod val="60000"/>
              <a:lumOff val="40000"/>
            </a:schemeClr>
          </a:solidFill>
          <a:ln w="19050">
            <a:noFill/>
          </a:ln>
          <a:effectLst>
            <a:outerShdw blurRad="50800" dist="38100" dir="5400000" algn="t" rotWithShape="0">
              <a:prstClr val="black">
                <a:alpha val="40000"/>
              </a:prstClr>
            </a:outerShdw>
          </a:effectLst>
        </c:spPr>
      </c:pivotFmt>
    </c:pivotFmts>
    <c:plotArea>
      <c:layout/>
      <c:doughnutChart>
        <c:varyColors val="1"/>
        <c:ser>
          <c:idx val="0"/>
          <c:order val="0"/>
          <c:tx>
            <c:strRef>
              <c:f>Analysis!$G$11</c:f>
              <c:strCache>
                <c:ptCount val="1"/>
                <c:pt idx="0">
                  <c:v>Total</c:v>
                </c:pt>
              </c:strCache>
            </c:strRef>
          </c:tx>
          <c:spPr>
            <a:solidFill>
              <a:schemeClr val="accent5">
                <a:lumMod val="60000"/>
                <a:lumOff val="40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05DE-41B2-A553-502B327FEED3}"/>
              </c:ext>
            </c:extLst>
          </c:dPt>
          <c:dPt>
            <c:idx val="1"/>
            <c:bubble3D val="0"/>
            <c:spPr>
              <a:solidFill>
                <a:schemeClr val="accent5">
                  <a:lumMod val="60000"/>
                  <a:lumOff val="4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05DE-41B2-A553-502B327FEE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Analysis!$F$12:$F$14</c:f>
              <c:strCache>
                <c:ptCount val="2"/>
                <c:pt idx="0">
                  <c:v>Active</c:v>
                </c:pt>
                <c:pt idx="1">
                  <c:v>Left</c:v>
                </c:pt>
              </c:strCache>
            </c:strRef>
          </c:cat>
          <c:val>
            <c:numRef>
              <c:f>Analysis!$G$12:$G$14</c:f>
              <c:numCache>
                <c:formatCode>0</c:formatCode>
                <c:ptCount val="2"/>
                <c:pt idx="0">
                  <c:v>67.741379310344826</c:v>
                </c:pt>
                <c:pt idx="1">
                  <c:v>66.208333333333329</c:v>
                </c:pt>
              </c:numCache>
            </c:numRef>
          </c:val>
          <c:extLst>
            <c:ext xmlns:c16="http://schemas.microsoft.com/office/drawing/2014/chart" uri="{C3380CC4-5D6E-409C-BE32-E72D297353CC}">
              <c16:uniqueId val="{00000004-05DE-41B2-A553-502B327FEED3}"/>
            </c:ext>
          </c:extLst>
        </c:ser>
        <c:dLbls>
          <c:showLegendKey val="0"/>
          <c:showVal val="0"/>
          <c:showCatName val="0"/>
          <c:showSerName val="0"/>
          <c:showPercent val="0"/>
          <c:showBubbleSize val="0"/>
          <c:showLeaderLines val="1"/>
        </c:dLbls>
        <c:firstSliceAng val="9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[HR_Analytics_Capstone_Completed ADEDEJI FUNMILAYO.xlsx]Analysis!PivotTable13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Analysis!$C$2:$C$8</c:f>
              <c:strCache>
                <c:ptCount val="6"/>
                <c:pt idx="0">
                  <c:v>Finance</c:v>
                </c:pt>
                <c:pt idx="1">
                  <c:v>Sales</c:v>
                </c:pt>
                <c:pt idx="2">
                  <c:v>Human Resources</c:v>
                </c:pt>
                <c:pt idx="3">
                  <c:v>Marketing</c:v>
                </c:pt>
                <c:pt idx="4">
                  <c:v>Information Technology</c:v>
                </c:pt>
                <c:pt idx="5">
                  <c:v>Operations</c:v>
                </c:pt>
              </c:strCache>
            </c:strRef>
          </c:cat>
          <c:val>
            <c:numRef>
              <c:f>Analysis!$D$2:$D$8</c:f>
              <c:numCache>
                <c:formatCode>0.0</c:formatCode>
                <c:ptCount val="6"/>
                <c:pt idx="0">
                  <c:v>87173.588235294112</c:v>
                </c:pt>
                <c:pt idx="1">
                  <c:v>86333.096774193546</c:v>
                </c:pt>
                <c:pt idx="2">
                  <c:v>85536.277777777781</c:v>
                </c:pt>
                <c:pt idx="3">
                  <c:v>85407.947368421053</c:v>
                </c:pt>
                <c:pt idx="4">
                  <c:v>80512.833333333328</c:v>
                </c:pt>
                <c:pt idx="5">
                  <c:v>80049.931034482754</c:v>
                </c:pt>
              </c:numCache>
            </c:numRef>
          </c:val>
          <c:extLst>
            <c:ext xmlns:c16="http://schemas.microsoft.com/office/drawing/2014/chart" uri="{C3380CC4-5D6E-409C-BE32-E72D297353CC}">
              <c16:uniqueId val="{00000000-72CA-43C8-8188-EAD6E1C3E82E}"/>
            </c:ext>
          </c:extLst>
        </c:ser>
        <c:dLbls>
          <c:dLblPos val="outEnd"/>
          <c:showLegendKey val="0"/>
          <c:showVal val="1"/>
          <c:showCatName val="0"/>
          <c:showSerName val="0"/>
          <c:showPercent val="0"/>
          <c:showBubbleSize val="0"/>
        </c:dLbls>
        <c:gapWidth val="219"/>
        <c:overlap val="-27"/>
        <c:axId val="99289872"/>
        <c:axId val="99287376"/>
      </c:barChart>
      <c:catAx>
        <c:axId val="9928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9287376"/>
        <c:crosses val="autoZero"/>
        <c:auto val="1"/>
        <c:lblAlgn val="ctr"/>
        <c:lblOffset val="100"/>
        <c:noMultiLvlLbl val="0"/>
      </c:catAx>
      <c:valAx>
        <c:axId val="99287376"/>
        <c:scaling>
          <c:orientation val="minMax"/>
        </c:scaling>
        <c:delete val="1"/>
        <c:axPos val="l"/>
        <c:numFmt formatCode="0.0" sourceLinked="1"/>
        <c:majorTickMark val="none"/>
        <c:minorTickMark val="none"/>
        <c:tickLblPos val="nextTo"/>
        <c:crossAx val="9928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R Dashboard'!A1"/><Relationship Id="rId2" Type="http://schemas.openxmlformats.org/officeDocument/2006/relationships/hyperlink" Target="#Analysis!A1"/><Relationship Id="rId1" Type="http://schemas.openxmlformats.org/officeDocument/2006/relationships/hyperlink" Target="#'Clean Data'!A1"/></Relationships>
</file>

<file path=xl/drawings/_rels/drawing2.xml.rels><?xml version="1.0" encoding="UTF-8" standalone="yes"?>
<Relationships xmlns="http://schemas.openxmlformats.org/package/2006/relationships"><Relationship Id="rId3" Type="http://schemas.openxmlformats.org/officeDocument/2006/relationships/hyperlink" Target="#'HR Dashboard'!A1"/><Relationship Id="rId2" Type="http://schemas.openxmlformats.org/officeDocument/2006/relationships/hyperlink" Target="#Analysis!A1"/><Relationship Id="rId1" Type="http://schemas.openxmlformats.org/officeDocument/2006/relationships/hyperlink" Target="#'Clean Data'!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HR 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5" Type="http://schemas.openxmlformats.org/officeDocument/2006/relationships/hyperlink" Target="#'Clean Data'!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1214438</xdr:colOff>
      <xdr:row>32</xdr:row>
      <xdr:rowOff>95250</xdr:rowOff>
    </xdr:to>
    <xdr:sp macro="" textlink="">
      <xdr:nvSpPr>
        <xdr:cNvPr id="6" name="Rectangle: Rounded Corners 5">
          <a:extLst>
            <a:ext uri="{FF2B5EF4-FFF2-40B4-BE49-F238E27FC236}">
              <a16:creationId xmlns:a16="http://schemas.microsoft.com/office/drawing/2014/main" id="{B74CF6F0-B5E8-4072-B413-1ADB1C9D92CC}"/>
            </a:ext>
          </a:extLst>
        </xdr:cNvPr>
        <xdr:cNvSpPr/>
      </xdr:nvSpPr>
      <xdr:spPr>
        <a:xfrm>
          <a:off x="0" y="0"/>
          <a:ext cx="1214438" cy="5429250"/>
        </a:xfrm>
        <a:prstGeom prst="roundRect">
          <a:avLst/>
        </a:prstGeom>
        <a:solidFill>
          <a:srgbClr val="378D87"/>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100"/>
        </a:p>
      </xdr:txBody>
    </xdr:sp>
    <xdr:clientData/>
  </xdr:twoCellAnchor>
  <xdr:twoCellAnchor>
    <xdr:from>
      <xdr:col>0</xdr:col>
      <xdr:colOff>0</xdr:colOff>
      <xdr:row>1</xdr:row>
      <xdr:rowOff>178594</xdr:rowOff>
    </xdr:from>
    <xdr:to>
      <xdr:col>0</xdr:col>
      <xdr:colOff>1044000</xdr:colOff>
      <xdr:row>8</xdr:row>
      <xdr:rowOff>136594</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EC1CA4D3-BCBB-40FA-809C-5EB4FFB016DC}"/>
            </a:ext>
          </a:extLst>
        </xdr:cNvPr>
        <xdr:cNvSpPr/>
      </xdr:nvSpPr>
      <xdr:spPr>
        <a:xfrm>
          <a:off x="0" y="369094"/>
          <a:ext cx="1044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CLEAN</a:t>
          </a:r>
          <a:r>
            <a:rPr lang="en-US" sz="1100" baseline="0"/>
            <a:t> DATA</a:t>
          </a:r>
        </a:p>
        <a:p>
          <a:pPr algn="l"/>
          <a:endParaRPr lang="en-NG" sz="1100"/>
        </a:p>
      </xdr:txBody>
    </xdr:sp>
    <xdr:clientData/>
  </xdr:twoCellAnchor>
  <xdr:twoCellAnchor>
    <xdr:from>
      <xdr:col>0</xdr:col>
      <xdr:colOff>0</xdr:colOff>
      <xdr:row>9</xdr:row>
      <xdr:rowOff>59531</xdr:rowOff>
    </xdr:from>
    <xdr:to>
      <xdr:col>0</xdr:col>
      <xdr:colOff>1080000</xdr:colOff>
      <xdr:row>13</xdr:row>
      <xdr:rowOff>17531</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0599008C-6EBB-45D7-8E6D-526958201BFD}"/>
            </a:ext>
          </a:extLst>
        </xdr:cNvPr>
        <xdr:cNvSpPr/>
      </xdr:nvSpPr>
      <xdr:spPr>
        <a:xfrm>
          <a:off x="0" y="1202531"/>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ANALYSIS</a:t>
          </a:r>
          <a:endParaRPr lang="en-NG" sz="1100"/>
        </a:p>
      </xdr:txBody>
    </xdr:sp>
    <xdr:clientData/>
  </xdr:twoCellAnchor>
  <xdr:twoCellAnchor>
    <xdr:from>
      <xdr:col>0</xdr:col>
      <xdr:colOff>0</xdr:colOff>
      <xdr:row>14</xdr:row>
      <xdr:rowOff>59531</xdr:rowOff>
    </xdr:from>
    <xdr:to>
      <xdr:col>0</xdr:col>
      <xdr:colOff>1080000</xdr:colOff>
      <xdr:row>18</xdr:row>
      <xdr:rowOff>17531</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280DA426-1F41-4A74-BA10-7A1D0B528691}"/>
            </a:ext>
          </a:extLst>
        </xdr:cNvPr>
        <xdr:cNvSpPr/>
      </xdr:nvSpPr>
      <xdr:spPr>
        <a:xfrm>
          <a:off x="0" y="2155031"/>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HR</a:t>
          </a:r>
          <a:r>
            <a:rPr lang="en-US" sz="1100" baseline="0"/>
            <a:t> DASHBOARD</a:t>
          </a:r>
          <a:endParaRPr lang="en-NG" sz="1100"/>
        </a:p>
      </xdr:txBody>
    </xdr:sp>
    <xdr:clientData/>
  </xdr:twoCellAnchor>
  <xdr:twoCellAnchor>
    <xdr:from>
      <xdr:col>0</xdr:col>
      <xdr:colOff>0</xdr:colOff>
      <xdr:row>18</xdr:row>
      <xdr:rowOff>188198</xdr:rowOff>
    </xdr:from>
    <xdr:to>
      <xdr:col>0</xdr:col>
      <xdr:colOff>1080000</xdr:colOff>
      <xdr:row>22</xdr:row>
      <xdr:rowOff>146198</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10A03948-E8F0-4F11-87E2-0AD49D0BF9B8}"/>
            </a:ext>
          </a:extLst>
        </xdr:cNvPr>
        <xdr:cNvSpPr/>
      </xdr:nvSpPr>
      <xdr:spPr>
        <a:xfrm>
          <a:off x="0" y="3045698"/>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RAW</a:t>
          </a:r>
          <a:r>
            <a:rPr lang="en-US" sz="1100" baseline="0"/>
            <a:t> DATA</a:t>
          </a:r>
        </a:p>
        <a:p>
          <a:pPr algn="ctr"/>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1214438</xdr:colOff>
      <xdr:row>28</xdr:row>
      <xdr:rowOff>157273</xdr:rowOff>
    </xdr:to>
    <xdr:sp macro="" textlink="">
      <xdr:nvSpPr>
        <xdr:cNvPr id="2" name="Rectangle: Rounded Corners 1">
          <a:extLst>
            <a:ext uri="{FF2B5EF4-FFF2-40B4-BE49-F238E27FC236}">
              <a16:creationId xmlns:a16="http://schemas.microsoft.com/office/drawing/2014/main" id="{6ACC3247-38BC-4D04-85EC-8D04B7309E89}"/>
            </a:ext>
          </a:extLst>
        </xdr:cNvPr>
        <xdr:cNvSpPr/>
      </xdr:nvSpPr>
      <xdr:spPr>
        <a:xfrm>
          <a:off x="0" y="0"/>
          <a:ext cx="1214438" cy="5429250"/>
        </a:xfrm>
        <a:prstGeom prst="roundRect">
          <a:avLst/>
        </a:prstGeom>
        <a:solidFill>
          <a:srgbClr val="378D87"/>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100"/>
        </a:p>
      </xdr:txBody>
    </xdr:sp>
    <xdr:clientData/>
  </xdr:twoCellAnchor>
  <xdr:twoCellAnchor>
    <xdr:from>
      <xdr:col>0</xdr:col>
      <xdr:colOff>0</xdr:colOff>
      <xdr:row>1</xdr:row>
      <xdr:rowOff>180809</xdr:rowOff>
    </xdr:from>
    <xdr:to>
      <xdr:col>0</xdr:col>
      <xdr:colOff>1044000</xdr:colOff>
      <xdr:row>5</xdr:row>
      <xdr:rowOff>147670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7C45626-169A-4C9E-B1D3-F0BE79F41C33}"/>
            </a:ext>
          </a:extLst>
        </xdr:cNvPr>
        <xdr:cNvSpPr/>
      </xdr:nvSpPr>
      <xdr:spPr>
        <a:xfrm>
          <a:off x="0" y="369094"/>
          <a:ext cx="1044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CLEAN</a:t>
          </a:r>
          <a:r>
            <a:rPr lang="en-US" sz="1100" baseline="0"/>
            <a:t> DATA</a:t>
          </a:r>
        </a:p>
        <a:p>
          <a:pPr algn="l"/>
          <a:endParaRPr lang="en-NG" sz="1100"/>
        </a:p>
      </xdr:txBody>
    </xdr:sp>
    <xdr:clientData/>
  </xdr:twoCellAnchor>
  <xdr:twoCellAnchor>
    <xdr:from>
      <xdr:col>0</xdr:col>
      <xdr:colOff>0</xdr:colOff>
      <xdr:row>6</xdr:row>
      <xdr:rowOff>72822</xdr:rowOff>
    </xdr:from>
    <xdr:to>
      <xdr:col>0</xdr:col>
      <xdr:colOff>1080000</xdr:colOff>
      <xdr:row>10</xdr:row>
      <xdr:rowOff>39682</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E7251ED-63F1-403A-9631-DA32C82DFC0A}"/>
            </a:ext>
          </a:extLst>
        </xdr:cNvPr>
        <xdr:cNvSpPr/>
      </xdr:nvSpPr>
      <xdr:spPr>
        <a:xfrm>
          <a:off x="0" y="1202531"/>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ANALYSIS</a:t>
          </a:r>
          <a:endParaRPr lang="en-NG" sz="1100"/>
        </a:p>
      </xdr:txBody>
    </xdr:sp>
    <xdr:clientData/>
  </xdr:twoCellAnchor>
  <xdr:twoCellAnchor>
    <xdr:from>
      <xdr:col>0</xdr:col>
      <xdr:colOff>0</xdr:colOff>
      <xdr:row>11</xdr:row>
      <xdr:rowOff>83897</xdr:rowOff>
    </xdr:from>
    <xdr:to>
      <xdr:col>0</xdr:col>
      <xdr:colOff>1080000</xdr:colOff>
      <xdr:row>15</xdr:row>
      <xdr:rowOff>50758</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47A3E1D-DFBE-43A2-B43B-F2E28E3B4918}"/>
            </a:ext>
          </a:extLst>
        </xdr:cNvPr>
        <xdr:cNvSpPr/>
      </xdr:nvSpPr>
      <xdr:spPr>
        <a:xfrm>
          <a:off x="0" y="2155031"/>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HR</a:t>
          </a:r>
          <a:r>
            <a:rPr lang="en-US" sz="1100" baseline="0"/>
            <a:t> DASHBOARD</a:t>
          </a:r>
          <a:endParaRPr lang="en-NG" sz="1100"/>
        </a:p>
      </xdr:txBody>
    </xdr:sp>
    <xdr:clientData/>
  </xdr:twoCellAnchor>
  <xdr:twoCellAnchor>
    <xdr:from>
      <xdr:col>0</xdr:col>
      <xdr:colOff>0</xdr:colOff>
      <xdr:row>16</xdr:row>
      <xdr:rowOff>33140</xdr:rowOff>
    </xdr:from>
    <xdr:to>
      <xdr:col>0</xdr:col>
      <xdr:colOff>1080000</xdr:colOff>
      <xdr:row>20</xdr:row>
      <xdr:rowOff>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8CF99226-7DE7-4297-87FC-5D617A1F1AB9}"/>
            </a:ext>
          </a:extLst>
        </xdr:cNvPr>
        <xdr:cNvSpPr/>
      </xdr:nvSpPr>
      <xdr:spPr>
        <a:xfrm>
          <a:off x="0" y="3045698"/>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RAW</a:t>
          </a:r>
          <a:r>
            <a:rPr lang="en-US" sz="1100" baseline="0"/>
            <a:t> DATA</a:t>
          </a:r>
        </a:p>
        <a:p>
          <a:pPr algn="ctr"/>
          <a:endParaRPr lang="en-N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35718</xdr:rowOff>
    </xdr:from>
    <xdr:to>
      <xdr:col>16</xdr:col>
      <xdr:colOff>0</xdr:colOff>
      <xdr:row>35</xdr:row>
      <xdr:rowOff>0</xdr:rowOff>
    </xdr:to>
    <xdr:sp macro="" textlink="">
      <xdr:nvSpPr>
        <xdr:cNvPr id="3" name="Rectangle: Rounded Corners 2">
          <a:extLst>
            <a:ext uri="{FF2B5EF4-FFF2-40B4-BE49-F238E27FC236}">
              <a16:creationId xmlns:a16="http://schemas.microsoft.com/office/drawing/2014/main" id="{A12DD050-C4DA-4031-85B1-3BB75158FCEA}"/>
            </a:ext>
          </a:extLst>
        </xdr:cNvPr>
        <xdr:cNvSpPr/>
      </xdr:nvSpPr>
      <xdr:spPr>
        <a:xfrm>
          <a:off x="1" y="35718"/>
          <a:ext cx="9651999" cy="6631782"/>
        </a:xfrm>
        <a:prstGeom prst="roundRect">
          <a:avLst>
            <a:gd name="adj" fmla="val 0"/>
          </a:avLst>
        </a:prstGeom>
        <a:solidFill>
          <a:srgbClr val="CBEBE9">
            <a:alpha val="90980"/>
          </a:srgb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1</xdr:row>
      <xdr:rowOff>0</xdr:rowOff>
    </xdr:from>
    <xdr:to>
      <xdr:col>16</xdr:col>
      <xdr:colOff>0</xdr:colOff>
      <xdr:row>5</xdr:row>
      <xdr:rowOff>0</xdr:rowOff>
    </xdr:to>
    <xdr:sp macro="" textlink="">
      <xdr:nvSpPr>
        <xdr:cNvPr id="8" name="Rectangle: Rounded Corners 7">
          <a:extLst>
            <a:ext uri="{FF2B5EF4-FFF2-40B4-BE49-F238E27FC236}">
              <a16:creationId xmlns:a16="http://schemas.microsoft.com/office/drawing/2014/main" id="{96860A93-4B73-455A-A52E-B427655EEE61}"/>
            </a:ext>
          </a:extLst>
        </xdr:cNvPr>
        <xdr:cNvSpPr/>
      </xdr:nvSpPr>
      <xdr:spPr>
        <a:xfrm>
          <a:off x="0" y="190500"/>
          <a:ext cx="9652000" cy="762000"/>
        </a:xfrm>
        <a:prstGeom prst="roundRect">
          <a:avLst/>
        </a:prstGeom>
        <a:solidFill>
          <a:srgbClr val="378D87"/>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254000</xdr:colOff>
      <xdr:row>2</xdr:row>
      <xdr:rowOff>0</xdr:rowOff>
    </xdr:from>
    <xdr:to>
      <xdr:col>15</xdr:col>
      <xdr:colOff>254000</xdr:colOff>
      <xdr:row>4</xdr:row>
      <xdr:rowOff>95250</xdr:rowOff>
    </xdr:to>
    <xdr:sp macro="" textlink="">
      <xdr:nvSpPr>
        <xdr:cNvPr id="10" name="TextBox 9">
          <a:extLst>
            <a:ext uri="{FF2B5EF4-FFF2-40B4-BE49-F238E27FC236}">
              <a16:creationId xmlns:a16="http://schemas.microsoft.com/office/drawing/2014/main" id="{50A653D9-DC26-45B0-9984-2B0B6F9F1632}"/>
            </a:ext>
          </a:extLst>
        </xdr:cNvPr>
        <xdr:cNvSpPr txBox="1"/>
      </xdr:nvSpPr>
      <xdr:spPr>
        <a:xfrm>
          <a:off x="254000" y="381000"/>
          <a:ext cx="9048750" cy="476250"/>
        </a:xfrm>
        <a:prstGeom prst="rect">
          <a:avLst/>
        </a:prstGeom>
        <a:solidFill>
          <a:srgbClr val="378D87"/>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HR_ANALYSIS DASHBOARD-</a:t>
          </a:r>
          <a:r>
            <a:rPr lang="en-US" sz="2400" baseline="0"/>
            <a:t> </a:t>
          </a:r>
          <a:r>
            <a:rPr lang="en-US" sz="2400"/>
            <a:t>IOTBTECH PROJECT</a:t>
          </a:r>
          <a:endParaRPr lang="en-NG" sz="2400"/>
        </a:p>
      </xdr:txBody>
    </xdr:sp>
    <xdr:clientData/>
  </xdr:twoCellAnchor>
  <xdr:twoCellAnchor>
    <xdr:from>
      <xdr:col>2</xdr:col>
      <xdr:colOff>0</xdr:colOff>
      <xdr:row>10</xdr:row>
      <xdr:rowOff>102188</xdr:rowOff>
    </xdr:from>
    <xdr:to>
      <xdr:col>7</xdr:col>
      <xdr:colOff>203907</xdr:colOff>
      <xdr:row>21</xdr:row>
      <xdr:rowOff>166688</xdr:rowOff>
    </xdr:to>
    <xdr:graphicFrame macro="">
      <xdr:nvGraphicFramePr>
        <xdr:cNvPr id="14" name="Chart 13">
          <a:extLst>
            <a:ext uri="{FF2B5EF4-FFF2-40B4-BE49-F238E27FC236}">
              <a16:creationId xmlns:a16="http://schemas.microsoft.com/office/drawing/2014/main" id="{FF7177E8-EC22-4412-8808-B89315839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59531</xdr:colOff>
      <xdr:row>22</xdr:row>
      <xdr:rowOff>0</xdr:rowOff>
    </xdr:from>
    <xdr:to>
      <xdr:col>7</xdr:col>
      <xdr:colOff>263438</xdr:colOff>
      <xdr:row>33</xdr:row>
      <xdr:rowOff>64500</xdr:rowOff>
    </xdr:to>
    <xdr:graphicFrame macro="">
      <xdr:nvGraphicFramePr>
        <xdr:cNvPr id="16" name="Chart 15">
          <a:extLst>
            <a:ext uri="{FF2B5EF4-FFF2-40B4-BE49-F238E27FC236}">
              <a16:creationId xmlns:a16="http://schemas.microsoft.com/office/drawing/2014/main" id="{919CE52D-4C5D-463B-9439-F488EED3B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403313</xdr:colOff>
      <xdr:row>22</xdr:row>
      <xdr:rowOff>47625</xdr:rowOff>
    </xdr:from>
    <xdr:to>
      <xdr:col>13</xdr:col>
      <xdr:colOff>0</xdr:colOff>
      <xdr:row>33</xdr:row>
      <xdr:rowOff>112125</xdr:rowOff>
    </xdr:to>
    <xdr:graphicFrame macro="">
      <xdr:nvGraphicFramePr>
        <xdr:cNvPr id="18" name="Chart 6">
          <a:extLst>
            <a:ext uri="{FF2B5EF4-FFF2-40B4-BE49-F238E27FC236}">
              <a16:creationId xmlns:a16="http://schemas.microsoft.com/office/drawing/2014/main" id="{A28F12D4-D49D-4419-B6A5-7433C049D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7</xdr:row>
      <xdr:rowOff>0</xdr:rowOff>
    </xdr:from>
    <xdr:to>
      <xdr:col>4</xdr:col>
      <xdr:colOff>0</xdr:colOff>
      <xdr:row>8</xdr:row>
      <xdr:rowOff>0</xdr:rowOff>
    </xdr:to>
    <xdr:sp macro="" textlink="">
      <xdr:nvSpPr>
        <xdr:cNvPr id="27" name="TextBox 26">
          <a:extLst>
            <a:ext uri="{FF2B5EF4-FFF2-40B4-BE49-F238E27FC236}">
              <a16:creationId xmlns:a16="http://schemas.microsoft.com/office/drawing/2014/main" id="{4A9B067D-65C0-476D-8829-CFDCD7C81F3C}"/>
            </a:ext>
          </a:extLst>
        </xdr:cNvPr>
        <xdr:cNvSpPr txBox="1"/>
      </xdr:nvSpPr>
      <xdr:spPr>
        <a:xfrm>
          <a:off x="1821656" y="1333500"/>
          <a:ext cx="607219" cy="1905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2</xdr:col>
      <xdr:colOff>83344</xdr:colOff>
      <xdr:row>6</xdr:row>
      <xdr:rowOff>0</xdr:rowOff>
    </xdr:from>
    <xdr:to>
      <xdr:col>5</xdr:col>
      <xdr:colOff>83345</xdr:colOff>
      <xdr:row>10</xdr:row>
      <xdr:rowOff>0</xdr:rowOff>
    </xdr:to>
    <xdr:sp macro="" textlink="">
      <xdr:nvSpPr>
        <xdr:cNvPr id="28" name="Rectangle: Rounded Corners 27">
          <a:extLst>
            <a:ext uri="{FF2B5EF4-FFF2-40B4-BE49-F238E27FC236}">
              <a16:creationId xmlns:a16="http://schemas.microsoft.com/office/drawing/2014/main" id="{AA89E52B-AF8A-46D0-9412-DAFA850A2DD0}"/>
            </a:ext>
          </a:extLst>
        </xdr:cNvPr>
        <xdr:cNvSpPr/>
      </xdr:nvSpPr>
      <xdr:spPr>
        <a:xfrm>
          <a:off x="1297782" y="1143000"/>
          <a:ext cx="1821657" cy="762000"/>
        </a:xfrm>
        <a:prstGeom prst="roundRect">
          <a:avLst/>
        </a:prstGeom>
        <a:solidFill>
          <a:srgbClr val="378D8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 EMPLOYEE</a:t>
          </a:r>
          <a:endParaRPr lang="en-NG" sz="1100"/>
        </a:p>
      </xdr:txBody>
    </xdr:sp>
    <xdr:clientData/>
  </xdr:twoCellAnchor>
  <xdr:twoCellAnchor>
    <xdr:from>
      <xdr:col>2</xdr:col>
      <xdr:colOff>386953</xdr:colOff>
      <xdr:row>8</xdr:row>
      <xdr:rowOff>35719</xdr:rowOff>
    </xdr:from>
    <xdr:to>
      <xdr:col>4</xdr:col>
      <xdr:colOff>386954</xdr:colOff>
      <xdr:row>9</xdr:row>
      <xdr:rowOff>130969</xdr:rowOff>
    </xdr:to>
    <xdr:sp macro="" textlink="HEADCOUNT">
      <xdr:nvSpPr>
        <xdr:cNvPr id="31" name="TextBox 30">
          <a:extLst>
            <a:ext uri="{FF2B5EF4-FFF2-40B4-BE49-F238E27FC236}">
              <a16:creationId xmlns:a16="http://schemas.microsoft.com/office/drawing/2014/main" id="{00CA1B91-B8EC-4A8E-8E02-FBD16E8ABA87}"/>
            </a:ext>
          </a:extLst>
        </xdr:cNvPr>
        <xdr:cNvSpPr txBox="1"/>
      </xdr:nvSpPr>
      <xdr:spPr>
        <a:xfrm>
          <a:off x="1601391" y="1559719"/>
          <a:ext cx="1214438" cy="285750"/>
        </a:xfrm>
        <a:prstGeom prst="rect">
          <a:avLst/>
        </a:prstGeom>
        <a:solidFill>
          <a:srgbClr val="378D87"/>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84F776-F5A6-40B2-8273-0AAA4A79A358}" type="TxLink">
            <a:rPr lang="en-US" sz="1100" b="0" i="0" u="none" strike="noStrike">
              <a:solidFill>
                <a:srgbClr val="000000"/>
              </a:solidFill>
              <a:latin typeface="Calibri"/>
              <a:cs typeface="Calibri"/>
            </a:rPr>
            <a:pPr algn="ctr"/>
            <a:t>150</a:t>
          </a:fld>
          <a:endParaRPr lang="en-NG" sz="1100"/>
        </a:p>
      </xdr:txBody>
    </xdr:sp>
    <xdr:clientData/>
  </xdr:twoCellAnchor>
  <xdr:twoCellAnchor>
    <xdr:from>
      <xdr:col>6</xdr:col>
      <xdr:colOff>-1</xdr:colOff>
      <xdr:row>6</xdr:row>
      <xdr:rowOff>0</xdr:rowOff>
    </xdr:from>
    <xdr:to>
      <xdr:col>9</xdr:col>
      <xdr:colOff>0</xdr:colOff>
      <xdr:row>10</xdr:row>
      <xdr:rowOff>0</xdr:rowOff>
    </xdr:to>
    <xdr:sp macro="" textlink="">
      <xdr:nvSpPr>
        <xdr:cNvPr id="32" name="Rectangle: Rounded Corners 31">
          <a:extLst>
            <a:ext uri="{FF2B5EF4-FFF2-40B4-BE49-F238E27FC236}">
              <a16:creationId xmlns:a16="http://schemas.microsoft.com/office/drawing/2014/main" id="{A11CB01B-6975-4CB0-8C79-E966056D9696}"/>
            </a:ext>
          </a:extLst>
        </xdr:cNvPr>
        <xdr:cNvSpPr/>
      </xdr:nvSpPr>
      <xdr:spPr>
        <a:xfrm>
          <a:off x="3643312" y="1143000"/>
          <a:ext cx="1821657" cy="762000"/>
        </a:xfrm>
        <a:prstGeom prst="roundRect">
          <a:avLst/>
        </a:prstGeom>
        <a:solidFill>
          <a:srgbClr val="378D8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ATTRITION</a:t>
          </a:r>
          <a:r>
            <a:rPr lang="en-US" sz="1100" baseline="0"/>
            <a:t> RATE</a:t>
          </a:r>
          <a:endParaRPr lang="en-NG" sz="1100"/>
        </a:p>
      </xdr:txBody>
    </xdr:sp>
    <xdr:clientData/>
  </xdr:twoCellAnchor>
  <xdr:twoCellAnchor>
    <xdr:from>
      <xdr:col>6</xdr:col>
      <xdr:colOff>196452</xdr:colOff>
      <xdr:row>8</xdr:row>
      <xdr:rowOff>35719</xdr:rowOff>
    </xdr:from>
    <xdr:to>
      <xdr:col>8</xdr:col>
      <xdr:colOff>196453</xdr:colOff>
      <xdr:row>9</xdr:row>
      <xdr:rowOff>130969</xdr:rowOff>
    </xdr:to>
    <xdr:sp macro="" textlink="rate">
      <xdr:nvSpPr>
        <xdr:cNvPr id="33" name="TextBox 32">
          <a:extLst>
            <a:ext uri="{FF2B5EF4-FFF2-40B4-BE49-F238E27FC236}">
              <a16:creationId xmlns:a16="http://schemas.microsoft.com/office/drawing/2014/main" id="{810EC61D-08F7-48D4-A2BA-E05F7A67A6A4}"/>
            </a:ext>
          </a:extLst>
        </xdr:cNvPr>
        <xdr:cNvSpPr txBox="1"/>
      </xdr:nvSpPr>
      <xdr:spPr>
        <a:xfrm>
          <a:off x="3839765" y="1559719"/>
          <a:ext cx="1214438" cy="285750"/>
        </a:xfrm>
        <a:prstGeom prst="rect">
          <a:avLst/>
        </a:prstGeom>
        <a:solidFill>
          <a:srgbClr val="378D87"/>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2469C9-49B5-4A18-AFBA-8C2E21E6306C}" type="TxLink">
            <a:rPr lang="en-US" sz="1100" b="0" i="0" u="none" strike="noStrike">
              <a:solidFill>
                <a:srgbClr val="000000"/>
              </a:solidFill>
              <a:latin typeface="Calibri"/>
              <a:cs typeface="Calibri"/>
            </a:rPr>
            <a:t>23%</a:t>
          </a:fld>
          <a:endParaRPr lang="en-NG" sz="1100"/>
        </a:p>
      </xdr:txBody>
    </xdr:sp>
    <xdr:clientData/>
  </xdr:twoCellAnchor>
  <xdr:twoCellAnchor>
    <xdr:from>
      <xdr:col>9</xdr:col>
      <xdr:colOff>381000</xdr:colOff>
      <xdr:row>6</xdr:row>
      <xdr:rowOff>0</xdr:rowOff>
    </xdr:from>
    <xdr:to>
      <xdr:col>12</xdr:col>
      <xdr:colOff>381001</xdr:colOff>
      <xdr:row>10</xdr:row>
      <xdr:rowOff>0</xdr:rowOff>
    </xdr:to>
    <xdr:sp macro="" textlink="">
      <xdr:nvSpPr>
        <xdr:cNvPr id="34" name="Rectangle: Rounded Corners 33">
          <a:extLst>
            <a:ext uri="{FF2B5EF4-FFF2-40B4-BE49-F238E27FC236}">
              <a16:creationId xmlns:a16="http://schemas.microsoft.com/office/drawing/2014/main" id="{DA91C561-0135-41B7-ADDF-E85E706FA36F}"/>
            </a:ext>
          </a:extLst>
        </xdr:cNvPr>
        <xdr:cNvSpPr/>
      </xdr:nvSpPr>
      <xdr:spPr>
        <a:xfrm>
          <a:off x="5845969" y="1143000"/>
          <a:ext cx="1821657" cy="762000"/>
        </a:xfrm>
        <a:prstGeom prst="roundRect">
          <a:avLst/>
        </a:prstGeom>
        <a:solidFill>
          <a:srgbClr val="378D8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a:t>
          </a:r>
          <a:r>
            <a:rPr lang="en-US" sz="1100" baseline="0"/>
            <a:t> SALARY</a:t>
          </a:r>
          <a:endParaRPr lang="en-NG" sz="1100"/>
        </a:p>
      </xdr:txBody>
    </xdr:sp>
    <xdr:clientData/>
  </xdr:twoCellAnchor>
  <xdr:twoCellAnchor>
    <xdr:from>
      <xdr:col>10</xdr:col>
      <xdr:colOff>77390</xdr:colOff>
      <xdr:row>8</xdr:row>
      <xdr:rowOff>23813</xdr:rowOff>
    </xdr:from>
    <xdr:to>
      <xdr:col>12</xdr:col>
      <xdr:colOff>77391</xdr:colOff>
      <xdr:row>9</xdr:row>
      <xdr:rowOff>119063</xdr:rowOff>
    </xdr:to>
    <xdr:sp macro="" textlink="Averagesalary">
      <xdr:nvSpPr>
        <xdr:cNvPr id="35" name="TextBox 34">
          <a:extLst>
            <a:ext uri="{FF2B5EF4-FFF2-40B4-BE49-F238E27FC236}">
              <a16:creationId xmlns:a16="http://schemas.microsoft.com/office/drawing/2014/main" id="{23D10575-AA4C-4B89-9C67-6AEF0DB4ABB7}"/>
            </a:ext>
          </a:extLst>
        </xdr:cNvPr>
        <xdr:cNvSpPr txBox="1"/>
      </xdr:nvSpPr>
      <xdr:spPr>
        <a:xfrm>
          <a:off x="6149578" y="1547813"/>
          <a:ext cx="1214438" cy="285750"/>
        </a:xfrm>
        <a:prstGeom prst="rect">
          <a:avLst/>
        </a:prstGeom>
        <a:solidFill>
          <a:srgbClr val="378D87"/>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4A4769-DD16-4A4F-B809-24C2065758AC}" type="TxLink">
            <a:rPr lang="en-US" sz="1100" b="0" i="0" u="none" strike="noStrike">
              <a:solidFill>
                <a:srgbClr val="000000"/>
              </a:solidFill>
              <a:latin typeface="Calibri"/>
              <a:cs typeface="Calibri"/>
            </a:rPr>
            <a:t>$83,603.94</a:t>
          </a:fld>
          <a:endParaRPr lang="en-US" sz="1100"/>
        </a:p>
      </xdr:txBody>
    </xdr:sp>
    <xdr:clientData/>
  </xdr:twoCellAnchor>
  <xdr:twoCellAnchor>
    <xdr:from>
      <xdr:col>7</xdr:col>
      <xdr:colOff>297657</xdr:colOff>
      <xdr:row>10</xdr:row>
      <xdr:rowOff>78580</xdr:rowOff>
    </xdr:from>
    <xdr:to>
      <xdr:col>13</xdr:col>
      <xdr:colOff>50007</xdr:colOff>
      <xdr:row>22</xdr:row>
      <xdr:rowOff>0</xdr:rowOff>
    </xdr:to>
    <xdr:graphicFrame macro="">
      <xdr:nvGraphicFramePr>
        <xdr:cNvPr id="36" name="Chart 35">
          <a:extLst>
            <a:ext uri="{FF2B5EF4-FFF2-40B4-BE49-F238E27FC236}">
              <a16:creationId xmlns:a16="http://schemas.microsoft.com/office/drawing/2014/main" id="{6B958719-8244-4ED6-A002-6E0B98A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xdr:row>
      <xdr:rowOff>119063</xdr:rowOff>
    </xdr:from>
    <xdr:to>
      <xdr:col>2</xdr:col>
      <xdr:colOff>0</xdr:colOff>
      <xdr:row>34</xdr:row>
      <xdr:rowOff>23813</xdr:rowOff>
    </xdr:to>
    <xdr:sp macro="" textlink="">
      <xdr:nvSpPr>
        <xdr:cNvPr id="54" name="Rectangle: Rounded Corners 53">
          <a:extLst>
            <a:ext uri="{FF2B5EF4-FFF2-40B4-BE49-F238E27FC236}">
              <a16:creationId xmlns:a16="http://schemas.microsoft.com/office/drawing/2014/main" id="{D4825670-B415-48A7-9392-BED52C73B6CC}"/>
            </a:ext>
          </a:extLst>
        </xdr:cNvPr>
        <xdr:cNvSpPr/>
      </xdr:nvSpPr>
      <xdr:spPr>
        <a:xfrm>
          <a:off x="0" y="1071563"/>
          <a:ext cx="1214438" cy="5429250"/>
        </a:xfrm>
        <a:prstGeom prst="roundRect">
          <a:avLst/>
        </a:prstGeom>
        <a:solidFill>
          <a:srgbClr val="378D87"/>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100"/>
        </a:p>
      </xdr:txBody>
    </xdr:sp>
    <xdr:clientData/>
  </xdr:twoCellAnchor>
  <xdr:twoCellAnchor>
    <xdr:from>
      <xdr:col>0</xdr:col>
      <xdr:colOff>0</xdr:colOff>
      <xdr:row>7</xdr:row>
      <xdr:rowOff>107157</xdr:rowOff>
    </xdr:from>
    <xdr:to>
      <xdr:col>1</xdr:col>
      <xdr:colOff>436781</xdr:colOff>
      <xdr:row>11</xdr:row>
      <xdr:rowOff>65157</xdr:rowOff>
    </xdr:to>
    <xdr:sp macro="" textlink="">
      <xdr:nvSpPr>
        <xdr:cNvPr id="55" name="Rectangle: Rounded Corners 54">
          <a:hlinkClick xmlns:r="http://schemas.openxmlformats.org/officeDocument/2006/relationships" r:id="rId5"/>
          <a:extLst>
            <a:ext uri="{FF2B5EF4-FFF2-40B4-BE49-F238E27FC236}">
              <a16:creationId xmlns:a16="http://schemas.microsoft.com/office/drawing/2014/main" id="{153B567D-DAB9-44B7-B1FE-A791FC6871F2}"/>
            </a:ext>
          </a:extLst>
        </xdr:cNvPr>
        <xdr:cNvSpPr/>
      </xdr:nvSpPr>
      <xdr:spPr>
        <a:xfrm>
          <a:off x="0" y="1440657"/>
          <a:ext cx="1044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CLEAN</a:t>
          </a:r>
          <a:r>
            <a:rPr lang="en-US" sz="1100" baseline="0"/>
            <a:t> DATA</a:t>
          </a:r>
        </a:p>
        <a:p>
          <a:pPr algn="l"/>
          <a:endParaRPr lang="en-NG" sz="1100"/>
        </a:p>
      </xdr:txBody>
    </xdr:sp>
    <xdr:clientData/>
  </xdr:twoCellAnchor>
  <xdr:twoCellAnchor>
    <xdr:from>
      <xdr:col>0</xdr:col>
      <xdr:colOff>0</xdr:colOff>
      <xdr:row>11</xdr:row>
      <xdr:rowOff>178594</xdr:rowOff>
    </xdr:from>
    <xdr:to>
      <xdr:col>1</xdr:col>
      <xdr:colOff>472781</xdr:colOff>
      <xdr:row>15</xdr:row>
      <xdr:rowOff>136594</xdr:rowOff>
    </xdr:to>
    <xdr:sp macro="" textlink="">
      <xdr:nvSpPr>
        <xdr:cNvPr id="56" name="Rectangle: Rounded Corners 55">
          <a:hlinkClick xmlns:r="http://schemas.openxmlformats.org/officeDocument/2006/relationships" r:id="rId6"/>
          <a:extLst>
            <a:ext uri="{FF2B5EF4-FFF2-40B4-BE49-F238E27FC236}">
              <a16:creationId xmlns:a16="http://schemas.microsoft.com/office/drawing/2014/main" id="{51A25FD2-658B-4133-9D77-494B69C1E1C7}"/>
            </a:ext>
          </a:extLst>
        </xdr:cNvPr>
        <xdr:cNvSpPr/>
      </xdr:nvSpPr>
      <xdr:spPr>
        <a:xfrm>
          <a:off x="0" y="2274094"/>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ANALYSIS</a:t>
          </a:r>
          <a:endParaRPr lang="en-NG" sz="1100"/>
        </a:p>
      </xdr:txBody>
    </xdr:sp>
    <xdr:clientData/>
  </xdr:twoCellAnchor>
  <xdr:twoCellAnchor>
    <xdr:from>
      <xdr:col>0</xdr:col>
      <xdr:colOff>0</xdr:colOff>
      <xdr:row>16</xdr:row>
      <xdr:rowOff>178594</xdr:rowOff>
    </xdr:from>
    <xdr:to>
      <xdr:col>1</xdr:col>
      <xdr:colOff>472781</xdr:colOff>
      <xdr:row>20</xdr:row>
      <xdr:rowOff>136594</xdr:rowOff>
    </xdr:to>
    <xdr:sp macro="" textlink="">
      <xdr:nvSpPr>
        <xdr:cNvPr id="57" name="Rectangle: Rounded Corners 56">
          <a:hlinkClick xmlns:r="http://schemas.openxmlformats.org/officeDocument/2006/relationships" r:id="rId7"/>
          <a:extLst>
            <a:ext uri="{FF2B5EF4-FFF2-40B4-BE49-F238E27FC236}">
              <a16:creationId xmlns:a16="http://schemas.microsoft.com/office/drawing/2014/main" id="{6228B899-64C7-4242-ADDD-7DC3B662AAD8}"/>
            </a:ext>
          </a:extLst>
        </xdr:cNvPr>
        <xdr:cNvSpPr/>
      </xdr:nvSpPr>
      <xdr:spPr>
        <a:xfrm>
          <a:off x="0" y="3226594"/>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HR</a:t>
          </a:r>
          <a:r>
            <a:rPr lang="en-US" sz="1100" baseline="0"/>
            <a:t> DASHBOARD</a:t>
          </a:r>
          <a:endParaRPr lang="en-NG" sz="1100"/>
        </a:p>
      </xdr:txBody>
    </xdr:sp>
    <xdr:clientData/>
  </xdr:twoCellAnchor>
  <xdr:twoCellAnchor>
    <xdr:from>
      <xdr:col>0</xdr:col>
      <xdr:colOff>0</xdr:colOff>
      <xdr:row>21</xdr:row>
      <xdr:rowOff>116761</xdr:rowOff>
    </xdr:from>
    <xdr:to>
      <xdr:col>1</xdr:col>
      <xdr:colOff>472781</xdr:colOff>
      <xdr:row>25</xdr:row>
      <xdr:rowOff>74761</xdr:rowOff>
    </xdr:to>
    <xdr:sp macro="" textlink="">
      <xdr:nvSpPr>
        <xdr:cNvPr id="58" name="Rectangle: Rounded Corners 57">
          <a:hlinkClick xmlns:r="http://schemas.openxmlformats.org/officeDocument/2006/relationships" r:id="rId7"/>
          <a:extLst>
            <a:ext uri="{FF2B5EF4-FFF2-40B4-BE49-F238E27FC236}">
              <a16:creationId xmlns:a16="http://schemas.microsoft.com/office/drawing/2014/main" id="{CDD7F53F-A1F7-46A9-BFE8-90714D26B016}"/>
            </a:ext>
          </a:extLst>
        </xdr:cNvPr>
        <xdr:cNvSpPr/>
      </xdr:nvSpPr>
      <xdr:spPr>
        <a:xfrm>
          <a:off x="0" y="4117261"/>
          <a:ext cx="1080000" cy="720000"/>
        </a:xfrm>
        <a:prstGeom prst="roundRect">
          <a:avLst/>
        </a:prstGeom>
        <a:solidFill>
          <a:srgbClr val="378D87"/>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RAW</a:t>
          </a:r>
          <a:r>
            <a:rPr lang="en-US" sz="1100" baseline="0"/>
            <a:t> DATA</a:t>
          </a:r>
        </a:p>
        <a:p>
          <a:pPr algn="ctr"/>
          <a:endParaRPr lang="en-NG" sz="1100"/>
        </a:p>
      </xdr:txBody>
    </xdr:sp>
    <xdr:clientData/>
  </xdr:twoCellAnchor>
  <xdr:twoCellAnchor editAs="oneCell">
    <xdr:from>
      <xdr:col>13</xdr:col>
      <xdr:colOff>9750</xdr:colOff>
      <xdr:row>9</xdr:row>
      <xdr:rowOff>0</xdr:rowOff>
    </xdr:from>
    <xdr:to>
      <xdr:col>16</xdr:col>
      <xdr:colOff>0</xdr:colOff>
      <xdr:row>14</xdr:row>
      <xdr:rowOff>91500</xdr:rowOff>
    </xdr:to>
    <mc:AlternateContent xmlns:mc="http://schemas.openxmlformats.org/markup-compatibility/2006">
      <mc:Choice xmlns:a14="http://schemas.microsoft.com/office/drawing/2010/main" Requires="a14">
        <xdr:graphicFrame macro="">
          <xdr:nvGraphicFramePr>
            <xdr:cNvPr id="59" name="Employment Status">
              <a:extLst>
                <a:ext uri="{FF2B5EF4-FFF2-40B4-BE49-F238E27FC236}">
                  <a16:creationId xmlns:a16="http://schemas.microsoft.com/office/drawing/2014/main" id="{6E5DAC1A-A8AB-4420-8284-2057E09746CA}"/>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7998460" y="1751371"/>
              <a:ext cx="1833798" cy="106448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14</xdr:row>
      <xdr:rowOff>63500</xdr:rowOff>
    </xdr:from>
    <xdr:to>
      <xdr:col>15</xdr:col>
      <xdr:colOff>593500</xdr:colOff>
      <xdr:row>19</xdr:row>
      <xdr:rowOff>155000</xdr:rowOff>
    </xdr:to>
    <mc:AlternateContent xmlns:mc="http://schemas.openxmlformats.org/markup-compatibility/2006">
      <mc:Choice xmlns:a14="http://schemas.microsoft.com/office/drawing/2010/main" Requires="a14">
        <xdr:graphicFrame macro="">
          <xdr:nvGraphicFramePr>
            <xdr:cNvPr id="60" name="Department Name">
              <a:extLst>
                <a:ext uri="{FF2B5EF4-FFF2-40B4-BE49-F238E27FC236}">
                  <a16:creationId xmlns:a16="http://schemas.microsoft.com/office/drawing/2014/main" id="{0B078AD6-B44A-4C66-AEEB-B23D1EA67941}"/>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7988710" y="2787855"/>
              <a:ext cx="1822532" cy="106448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9750</xdr:colOff>
      <xdr:row>19</xdr:row>
      <xdr:rowOff>99000</xdr:rowOff>
    </xdr:from>
    <xdr:to>
      <xdr:col>16</xdr:col>
      <xdr:colOff>0</xdr:colOff>
      <xdr:row>25</xdr:row>
      <xdr:rowOff>0</xdr:rowOff>
    </xdr:to>
    <mc:AlternateContent xmlns:mc="http://schemas.openxmlformats.org/markup-compatibility/2006">
      <mc:Choice xmlns:a14="http://schemas.microsoft.com/office/drawing/2010/main" Requires="a14">
        <xdr:graphicFrame macro="">
          <xdr:nvGraphicFramePr>
            <xdr:cNvPr id="61" name="Performance Band">
              <a:extLst>
                <a:ext uri="{FF2B5EF4-FFF2-40B4-BE49-F238E27FC236}">
                  <a16:creationId xmlns:a16="http://schemas.microsoft.com/office/drawing/2014/main" id="{CF939E25-9BCD-4A6F-83CA-7F80372D8EE1}"/>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dr:sp macro="" textlink="">
          <xdr:nvSpPr>
            <xdr:cNvPr id="0" name=""/>
            <xdr:cNvSpPr>
              <a:spLocks noTextEdit="1"/>
            </xdr:cNvSpPr>
          </xdr:nvSpPr>
          <xdr:spPr>
            <a:xfrm>
              <a:off x="7998460" y="3796339"/>
              <a:ext cx="1833798" cy="10685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24</xdr:row>
      <xdr:rowOff>127000</xdr:rowOff>
    </xdr:from>
    <xdr:to>
      <xdr:col>16</xdr:col>
      <xdr:colOff>19050</xdr:colOff>
      <xdr:row>33</xdr:row>
      <xdr:rowOff>127000</xdr:rowOff>
    </xdr:to>
    <mc:AlternateContent xmlns:mc="http://schemas.openxmlformats.org/markup-compatibility/2006">
      <mc:Choice xmlns:a14="http://schemas.microsoft.com/office/drawing/2010/main" Requires="a14">
        <xdr:graphicFrame macro="">
          <xdr:nvGraphicFramePr>
            <xdr:cNvPr id="62" name="Years">
              <a:extLst>
                <a:ext uri="{FF2B5EF4-FFF2-40B4-BE49-F238E27FC236}">
                  <a16:creationId xmlns:a16="http://schemas.microsoft.com/office/drawing/2014/main" id="{20068D45-3E1C-4F76-B7E0-010A86913A0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988710" y="4797323"/>
              <a:ext cx="1862598" cy="17513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NMILAYO ADEDEJI" refreshedDate="46211.59121875" createdVersion="7" refreshedVersion="7" minRefreshableVersion="3" recordCount="150" xr:uid="{706CA06A-8797-4FE0-9B66-8779AE4071CA}">
  <cacheSource type="worksheet">
    <worksheetSource name="Table1"/>
  </cacheSource>
  <cacheFields count="16">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acheField>
    <cacheField name="Last_Name" numFmtId="0">
      <sharedItems/>
    </cacheField>
    <cacheField name="Full Name" numFmtId="0">
      <sharedItems count="109">
        <s v="Emily Brown"/>
        <s v="Richard Hernandez"/>
        <s v="Emily Gonzalez"/>
        <s v="John Martinez"/>
        <s v="Thomas Smith"/>
        <s v="Emily Johnson"/>
        <s v="John Wilson"/>
        <s v="Jessica Smith"/>
        <s v="Rodriguez Rodriguez"/>
        <s v="Michael Martinez"/>
        <s v="Emily Miller"/>
        <s v="Emily Hernandez"/>
        <s v="Jane Williams"/>
        <s v="Jane Miller"/>
        <s v="Robert Jones"/>
        <s v="Thomas Rodriguez"/>
        <s v="Emily Davis"/>
        <s v="James Martinez"/>
        <s v="Ashley Lopez"/>
        <s v="Amanda Gonzalez"/>
        <s v="Michael Hernandez"/>
        <s v="Michael Rodriguez"/>
        <s v="Jessica Johnson"/>
        <s v="Ashley Williams"/>
        <s v="Williams Williams"/>
        <s v="Michael Wilson"/>
        <s v="John Rodriguez"/>
        <s v="Thomas Hernandez"/>
        <s v="Michael Johnson"/>
        <s v="Sarah Brown"/>
        <s v="Jane Martinez"/>
        <s v="Emily Jones"/>
        <s v="Brown Brown"/>
        <s v="Melissa Brown"/>
        <s v="Michael Smith"/>
        <s v="Sarah Miller"/>
        <s v="Emily Wilson"/>
        <s v="David Hernandez"/>
        <s v="James Smith"/>
        <s v="Sarah Williams"/>
        <s v="Amanda Lopez"/>
        <s v="Thomas Lopez"/>
        <s v="Melissa Johnson"/>
        <s v="Amanda Johnson"/>
        <s v="John Davis"/>
        <s v="James Johnson"/>
        <s v="Jane Davis"/>
        <s v="Richard Davis"/>
        <s v="Emily Garcia"/>
        <s v="Jane Anderson"/>
        <s v="Thomas Garcia"/>
        <s v="David Martinez"/>
        <s v="Michael Anderson"/>
        <s v="Robert Johnson"/>
        <s v="Robert Miller"/>
        <s v="Thomas Davis"/>
        <s v="Thomas Jones"/>
        <s v="Michael Miller"/>
        <s v="Richard Gonzalez"/>
        <s v="Melissa Williams"/>
        <s v="William Garcia"/>
        <s v="John Gonzalez"/>
        <s v="James Gonzalez"/>
        <s v="Jane Gonzalez"/>
        <s v="David Wilson"/>
        <s v="Jane Rodriguez"/>
        <s v="Jessica Garcia"/>
        <s v="Richard Smith"/>
        <s v="Melissa Wilson"/>
        <s v="Thomas Williams"/>
        <s v="David Williams"/>
        <s v="John Johnson"/>
        <s v="Melissa Anderson"/>
        <s v="William Gonzalez"/>
        <s v="Jessica Anderson"/>
        <s v="Thomas Miller"/>
        <s v="Smith Smith"/>
        <s v="Jane Johnson"/>
        <s v="John Jones"/>
        <s v="Jane Lopez"/>
        <s v="Melissa Gonzalez"/>
        <s v="William Davis"/>
        <s v="John Smith"/>
        <s v="William Williams"/>
        <s v="James Jones"/>
        <s v="Jessica Gonzalez"/>
        <s v="Amanda Brown"/>
        <s v="Robert Martinez"/>
        <s v="David Rodriguez"/>
        <s v="James Rodriguez"/>
        <s v="Sarah Rodriguez"/>
        <s v="Sarah Wilson"/>
        <s v="Robert Williams"/>
        <s v="Melissa Rodriguez"/>
        <s v="William Jones"/>
        <s v="David Anderson"/>
        <s v="Sarah Smith"/>
        <s v="Melissa Hernandez"/>
        <s v="Jane Garcia"/>
        <s v="David Davis"/>
        <s v="James Wilson"/>
        <s v="Richard Johnson"/>
        <s v="Richard Williams"/>
        <s v="John Hernandez"/>
        <s v="Sarah Gonzalez"/>
        <s v="Jones Jones"/>
        <s v="William Rodriguez"/>
        <s v="Melissa Miller"/>
        <s v="Emily Martinez"/>
      </sharedItems>
    </cacheField>
    <cacheField name="Dept Code" numFmtId="0">
      <sharedItems count="6">
        <s v="IT02"/>
        <s v="MKT04"/>
        <s v="FIN03"/>
        <s v="OPS06"/>
        <s v="SAL05"/>
        <s v="HR01"/>
      </sharedItems>
    </cacheField>
    <cacheField name="Hire Date" numFmtId="14">
      <sharedItems containsSemiMixedTypes="0" containsNonDate="0" containsDate="1" containsString="0" minDate="2015-01-09T00:00:00" maxDate="2023-12-13T00:00:00" count="145">
        <d v="2017-12-24T00:00:00"/>
        <d v="2022-08-04T00:00:00"/>
        <d v="2016-02-03T00:00:00"/>
        <d v="2023-03-07T00:00:00"/>
        <d v="2023-02-20T00:00:00"/>
        <d v="2020-02-03T00:00:00"/>
        <d v="2023-12-12T00:00:00"/>
        <d v="2020-09-12T00:00:00"/>
        <d v="2018-07-01T00:00:00"/>
        <d v="2016-02-11T00:00:00"/>
        <d v="2020-03-21T00:00:00"/>
        <d v="2016-02-25T00:00:00"/>
        <d v="2021-06-17T00:00:00"/>
        <d v="2020-06-19T00:00:00"/>
        <d v="2019-12-21T00:00:00"/>
        <d v="2023-08-31T00:00:00"/>
        <d v="2015-11-29T00:00:00"/>
        <d v="2017-06-13T00:00:00"/>
        <d v="2018-05-15T00:00:00"/>
        <d v="2016-07-24T00:00:00"/>
        <d v="2017-07-12T00:00:00"/>
        <d v="2021-06-06T00:00:00"/>
        <d v="2022-11-09T00:00:00"/>
        <d v="2016-07-14T00:00:00"/>
        <d v="2022-06-16T00:00:00"/>
        <d v="2023-07-27T00:00:00"/>
        <d v="2019-09-24T00:00:00"/>
        <d v="2022-07-23T00:00:00"/>
        <d v="2018-05-13T00:00:00"/>
        <d v="2015-07-17T00:00:00"/>
        <d v="2015-05-08T00:00:00"/>
        <d v="2023-09-26T00:00:00"/>
        <d v="2019-10-06T00:00:00"/>
        <d v="2022-01-17T00:00:00"/>
        <d v="2017-03-07T00:00:00"/>
        <d v="2015-01-09T00:00:00"/>
        <d v="2022-03-08T00:00:00"/>
        <d v="2022-06-29T00:00:00"/>
        <d v="2020-04-28T00:00:00"/>
        <d v="2017-09-09T00:00:00"/>
        <d v="2018-03-22T00:00:00"/>
        <d v="2020-07-05T00:00:00"/>
        <d v="2019-03-25T00:00:00"/>
        <d v="2019-09-08T00:00:00"/>
        <d v="2016-04-10T00:00:00"/>
        <d v="2019-10-07T00:00:00"/>
        <d v="2021-08-29T00:00:00"/>
        <d v="2017-01-26T00:00:00"/>
        <d v="2020-05-30T00:00:00"/>
        <d v="2022-02-20T00:00:00"/>
        <d v="2016-09-15T00:00:00"/>
        <d v="2018-12-30T00:00:00"/>
        <d v="2020-12-24T00:00:00"/>
        <d v="2023-05-07T00:00:00"/>
        <d v="2020-11-13T00:00:00"/>
        <d v="2018-02-07T00:00:00"/>
        <d v="2023-11-25T00:00:00"/>
        <d v="2023-10-18T00:00:00"/>
        <d v="2020-05-09T00:00:00"/>
        <d v="2017-06-03T00:00:00"/>
        <d v="2015-04-28T00:00:00"/>
        <d v="2017-04-13T00:00:00"/>
        <d v="2022-09-23T00:00:00"/>
        <d v="2016-11-11T00:00:00"/>
        <d v="2017-03-24T00:00:00"/>
        <d v="2019-05-05T00:00:00"/>
        <d v="2021-07-25T00:00:00"/>
        <d v="2017-09-30T00:00:00"/>
        <d v="2015-07-07T00:00:00"/>
        <d v="2022-09-15T00:00:00"/>
        <d v="2015-02-09T00:00:00"/>
        <d v="2016-11-10T00:00:00"/>
        <d v="2019-04-20T00:00:00"/>
        <d v="2017-02-19T00:00:00"/>
        <d v="2021-09-07T00:00:00"/>
        <d v="2019-05-14T00:00:00"/>
        <d v="2015-11-22T00:00:00"/>
        <d v="2018-09-29T00:00:00"/>
        <d v="2023-02-09T00:00:00"/>
        <d v="2022-07-17T00:00:00"/>
        <d v="2021-07-02T00:00:00"/>
        <d v="2023-10-04T00:00:00"/>
        <d v="2020-08-30T00:00:00"/>
        <d v="2021-08-14T00:00:00"/>
        <d v="2019-11-27T00:00:00"/>
        <d v="2017-05-25T00:00:00"/>
        <d v="2018-02-12T00:00:00"/>
        <d v="2019-06-23T00:00:00"/>
        <d v="2015-10-27T00:00:00"/>
        <d v="2018-06-19T00:00:00"/>
        <d v="2018-12-01T00:00:00"/>
        <d v="2015-04-01T00:00:00"/>
        <d v="2018-05-12T00:00:00"/>
        <d v="2021-10-13T00:00:00"/>
        <d v="2020-07-09T00:00:00"/>
        <d v="2019-03-08T00:00:00"/>
        <d v="2015-11-03T00:00:00"/>
        <d v="2023-09-05T00:00:00"/>
        <d v="2018-01-22T00:00:00"/>
        <d v="2020-02-18T00:00:00"/>
        <d v="2016-05-22T00:00:00"/>
        <d v="2021-02-06T00:00:00"/>
        <d v="2021-07-17T00:00:00"/>
        <d v="2016-11-13T00:00:00"/>
        <d v="2019-02-17T00:00:00"/>
        <d v="2016-12-09T00:00:00"/>
        <d v="2021-08-13T00:00:00"/>
        <d v="2020-06-14T00:00:00"/>
        <d v="2022-05-07T00:00:00"/>
        <d v="2016-07-10T00:00:00"/>
        <d v="2022-04-23T00:00:00"/>
        <d v="2017-05-10T00:00:00"/>
        <d v="2020-05-20T00:00:00"/>
        <d v="2023-04-20T00:00:00"/>
        <d v="2021-10-31T00:00:00"/>
        <d v="2021-10-24T00:00:00"/>
        <d v="2017-09-08T00:00:00"/>
        <d v="2023-04-01T00:00:00"/>
        <d v="2020-10-08T00:00:00"/>
        <d v="2022-02-04T00:00:00"/>
        <d v="2018-03-24T00:00:00"/>
        <d v="2018-07-24T00:00:00"/>
        <d v="2018-07-20T00:00:00"/>
        <d v="2016-04-03T00:00:00"/>
        <d v="2022-03-23T00:00:00"/>
        <d v="2017-07-28T00:00:00"/>
        <d v="2023-05-11T00:00:00"/>
        <d v="2022-03-19T00:00:00"/>
        <d v="2017-12-22T00:00:00"/>
        <d v="2018-09-17T00:00:00"/>
        <d v="2021-06-28T00:00:00"/>
        <d v="2017-03-10T00:00:00"/>
        <d v="2015-10-22T00:00:00"/>
        <d v="2018-06-06T00:00:00"/>
        <d v="2017-07-16T00:00:00"/>
        <d v="2015-06-20T00:00:00"/>
        <d v="2019-05-24T00:00:00"/>
        <d v="2020-02-26T00:00:00"/>
        <d v="2023-06-03T00:00:00"/>
        <d v="2019-01-12T00:00:00"/>
        <d v="2023-04-21T00:00:00"/>
        <d v="2016-05-29T00:00:00"/>
        <d v="2022-05-30T00:00:00"/>
        <d v="2016-03-11T00:00:00"/>
        <d v="2022-10-14T00:00:00"/>
      </sharedItems>
      <fieldGroup par="15" base="5">
        <rangePr groupBy="months" startDate="2015-01-09T00:00:00" endDate="2023-12-13T00:00:00"/>
        <groupItems count="14">
          <s v="&lt;09/01/2015"/>
          <s v="Jan"/>
          <s v="Feb"/>
          <s v="Mar"/>
          <s v="Apr"/>
          <s v="May"/>
          <s v="Jun"/>
          <s v="Jul"/>
          <s v="Aug"/>
          <s v="Sep"/>
          <s v="Oct"/>
          <s v="Nov"/>
          <s v="Dec"/>
          <s v="&gt;13/12/2023"/>
        </groupItems>
      </fieldGroup>
    </cacheField>
    <cacheField name="Salary" numFmtId="169">
      <sharedItems containsSemiMixedTypes="0" containsString="0" containsNumber="1" containsInteger="1" minValue="45196" maxValue="118947"/>
    </cacheField>
    <cacheField name="Perf_Score" numFmtId="0">
      <sharedItems containsSemiMixedTypes="0" containsString="0" containsNumber="1" containsInteger="1" minValue="30" maxValue="99" count="58">
        <n v="52"/>
        <n v="68"/>
        <n v="54"/>
        <n v="70"/>
        <n v="40"/>
        <n v="49"/>
        <n v="45"/>
        <n v="79"/>
        <n v="58"/>
        <n v="62"/>
        <n v="48"/>
        <n v="77"/>
        <n v="42"/>
        <n v="93"/>
        <n v="75"/>
        <n v="50"/>
        <n v="88"/>
        <n v="64"/>
        <n v="32"/>
        <n v="59"/>
        <n v="90"/>
        <n v="66"/>
        <n v="80"/>
        <n v="72"/>
        <n v="78"/>
        <n v="30"/>
        <n v="98"/>
        <n v="71"/>
        <n v="55"/>
        <n v="76"/>
        <n v="84"/>
        <n v="53"/>
        <n v="63"/>
        <n v="96"/>
        <n v="95"/>
        <n v="33"/>
        <n v="91"/>
        <n v="46"/>
        <n v="99"/>
        <n v="87"/>
        <n v="36"/>
        <n v="97"/>
        <n v="65"/>
        <n v="67"/>
        <n v="34"/>
        <n v="61"/>
        <n v="74"/>
        <n v="94"/>
        <n v="81"/>
        <n v="57"/>
        <n v="69"/>
        <n v="51"/>
        <n v="82"/>
        <n v="83"/>
        <n v="38"/>
        <n v="35"/>
        <n v="92"/>
        <n v="73"/>
      </sharedItems>
    </cacheField>
    <cacheField name="Employment Status" numFmtId="0">
      <sharedItems count="3">
        <s v="Active"/>
        <s v="Left"/>
        <s v="Resigned"/>
      </sharedItems>
    </cacheField>
    <cacheField name="Department Name" numFmtId="0">
      <sharedItems count="6">
        <s v="Information Technology"/>
        <s v="Marketing"/>
        <s v="Finance"/>
        <s v="Operations"/>
        <s v="Sales"/>
        <s v="Human Resources"/>
      </sharedItems>
    </cacheField>
    <cacheField name="Year of Service" numFmtId="1">
      <sharedItems containsSemiMixedTypes="0" containsString="0" containsNumber="1" minValue="2.6" maxValue="11.5" count="72">
        <n v="8.5"/>
        <n v="3.9"/>
        <n v="10.4"/>
        <n v="3.3"/>
        <n v="3.4"/>
        <n v="6.4"/>
        <n v="2.6"/>
        <n v="5.8"/>
        <n v="8"/>
        <n v="6.3"/>
        <n v="5.0999999999999996"/>
        <n v="6.1"/>
        <n v="6.5"/>
        <n v="2.9"/>
        <n v="10.6"/>
        <n v="9.1"/>
        <n v="8.1"/>
        <n v="10"/>
        <n v="9"/>
        <n v="3.7"/>
        <n v="4.0999999999999996"/>
        <n v="6.8"/>
        <n v="4"/>
        <n v="8.1999999999999993"/>
        <n v="11"/>
        <n v="11.2"/>
        <n v="2.8"/>
        <n v="4.5"/>
        <n v="9.3000000000000007"/>
        <n v="11.5"/>
        <n v="4.3"/>
        <n v="6.2"/>
        <n v="8.8000000000000007"/>
        <n v="8.3000000000000007"/>
        <n v="6"/>
        <n v="7.3"/>
        <n v="10.199999999999999"/>
        <n v="4.9000000000000004"/>
        <n v="9.4"/>
        <n v="4.4000000000000004"/>
        <n v="9.8000000000000007"/>
        <n v="7.5"/>
        <n v="5.5"/>
        <n v="3.2"/>
        <n v="5.6"/>
        <n v="8.4"/>
        <n v="2.7"/>
        <n v="9.1999999999999993"/>
        <n v="3.8"/>
        <n v="9.6999999999999993"/>
        <n v="7.2"/>
        <n v="5"/>
        <n v="11.4"/>
        <n v="4.8"/>
        <n v="7.8"/>
        <n v="5.9"/>
        <n v="6.6"/>
        <n v="7"/>
        <n v="10.7"/>
        <n v="7.6"/>
        <n v="11.3"/>
        <n v="4.7"/>
        <n v="10.1"/>
        <n v="5.4"/>
        <n v="9.6"/>
        <n v="7.4"/>
        <n v="4.2"/>
        <n v="5.7"/>
        <n v="10.3"/>
        <n v="8.9"/>
        <n v="7.1"/>
        <n v="3.1"/>
      </sharedItems>
    </cacheField>
    <cacheField name="Performance Band" numFmtId="0">
      <sharedItems count="5">
        <s v="Developing"/>
        <s v="Needs Improvement"/>
        <s v="Achieving"/>
        <s v="Exceeding"/>
        <s v="Outstanding"/>
      </sharedItems>
    </cacheField>
    <cacheField name="Eligible Bonus %" numFmtId="2">
      <sharedItems count="5">
        <s v="0.02"/>
        <s v="0"/>
        <s v="0.05"/>
        <s v="0.08"/>
        <s v="0.12"/>
      </sharedItems>
    </cacheField>
    <cacheField name="Eligible Bonus Amount" numFmtId="167">
      <sharedItems containsSemiMixedTypes="0" containsString="0" containsNumber="1" minValue="0" maxValue="14273.64" count="109">
        <n v="1007.22"/>
        <n v="2253.46"/>
        <n v="2288.5"/>
        <n v="2076.62"/>
        <n v="0"/>
        <n v="1199.6000000000001"/>
        <n v="5106.9500000000007"/>
        <n v="1899.96"/>
        <n v="1538.3600000000001"/>
        <n v="1999.8"/>
        <n v="1607.7"/>
        <n v="3264.5"/>
        <n v="5918.72"/>
        <n v="4180.2"/>
        <n v="8629.68"/>
        <n v="2017.02"/>
        <n v="1624.1000000000001"/>
        <n v="6208.8"/>
        <n v="4069.84"/>
        <n v="1706.24"/>
        <n v="1672.08"/>
        <n v="4852.75"/>
        <n v="3303.4500000000003"/>
        <n v="1803.14"/>
        <n v="2994.9500000000003"/>
        <n v="2053.8200000000002"/>
        <n v="13421.4"/>
        <n v="5537.52"/>
        <n v="1150.28"/>
        <n v="4312.25"/>
        <n v="1048.1400000000001"/>
        <n v="5328.4800000000005"/>
        <n v="4094.8"/>
        <n v="1568.04"/>
        <n v="5274.9000000000005"/>
        <n v="4587.45"/>
        <n v="4996.75"/>
        <n v="1500.46"/>
        <n v="1865.8"/>
        <n v="2310.54"/>
        <n v="2796"/>
        <n v="14273.64"/>
        <n v="7332.4000000000005"/>
        <n v="988.7"/>
        <n v="8830.48"/>
        <n v="5064.16"/>
        <n v="1510.38"/>
        <n v="5194.55"/>
        <n v="6112.32"/>
        <n v="2224.8000000000002"/>
        <n v="4125.3599999999997"/>
        <n v="4421.6000000000004"/>
        <n v="7828.2"/>
        <n v="2259.8000000000002"/>
        <n v="1724.92"/>
        <n v="3517.9500000000003"/>
        <n v="6688.32"/>
        <n v="1729.6000000000001"/>
        <n v="2384.7000000000003"/>
        <n v="4186.2"/>
        <n v="1965.98"/>
        <n v="1045.74"/>
        <n v="9915.9599999999991"/>
        <n v="6898.56"/>
        <n v="5494.64"/>
        <n v="1678.64"/>
        <n v="2803.65"/>
        <n v="1761.1200000000001"/>
        <n v="3370.7000000000003"/>
        <n v="2305.7600000000002"/>
        <n v="1602.8"/>
        <n v="1461.74"/>
        <n v="5087.5"/>
        <n v="4149.6000000000004"/>
        <n v="998.84"/>
        <n v="1781.2"/>
        <n v="6454.32"/>
        <n v="1623.3400000000001"/>
        <n v="7333.76"/>
        <n v="3886.8500000000004"/>
        <n v="7654.88"/>
        <n v="5456.05"/>
        <n v="9023.2800000000007"/>
        <n v="5900.4000000000005"/>
        <n v="3718.5"/>
        <n v="3890.9500000000003"/>
        <n v="2437.4"/>
        <n v="5763"/>
        <n v="3031.15"/>
        <n v="5447.36"/>
        <n v="1763.1000000000001"/>
        <n v="3711.2000000000003"/>
        <n v="8953.6"/>
        <n v="8849.44"/>
        <n v="5419.75"/>
        <n v="1760.1000000000001"/>
        <n v="4150.3500000000004"/>
        <n v="1230.94"/>
        <n v="4031.92"/>
        <n v="1054.4000000000001"/>
        <n v="7807.7999999999993"/>
        <n v="2162.38"/>
        <n v="10032.48"/>
        <n v="2137.92"/>
        <n v="2257.7400000000002"/>
        <n v="4272.8500000000004"/>
        <n v="2389.7000000000003"/>
        <n v="4654.7"/>
        <n v="9490.7199999999993"/>
      </sharedItems>
    </cacheField>
    <cacheField name="Quarters" numFmtId="0" databaseField="0">
      <fieldGroup base="5">
        <rangePr groupBy="quarters" startDate="2015-01-09T00:00:00" endDate="2023-12-13T00:00:00"/>
        <groupItems count="6">
          <s v="&lt;09/01/2015"/>
          <s v="Qtr1"/>
          <s v="Qtr2"/>
          <s v="Qtr3"/>
          <s v="Qtr4"/>
          <s v="&gt;13/12/2023"/>
        </groupItems>
      </fieldGroup>
    </cacheField>
    <cacheField name="Years" numFmtId="0" databaseField="0">
      <fieldGroup base="5">
        <rangePr groupBy="years" startDate="2015-01-09T00:00:00" endDate="2023-12-13T00:00:00"/>
        <groupItems count="11">
          <s v="&lt;09/01/2015"/>
          <s v="2015"/>
          <s v="2016"/>
          <s v="2017"/>
          <s v="2018"/>
          <s v="2019"/>
          <s v="2020"/>
          <s v="2021"/>
          <s v="2022"/>
          <s v="2023"/>
          <s v="&gt;13/12/2023"/>
        </groupItems>
      </fieldGroup>
    </cacheField>
  </cacheFields>
  <extLst>
    <ext xmlns:x14="http://schemas.microsoft.com/office/spreadsheetml/2009/9/main" uri="{725AE2AE-9491-48be-B2B4-4EB974FC3084}">
      <x14:pivotCacheDefinition pivotCacheId="918091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x v="0"/>
    <x v="0"/>
    <x v="0"/>
    <n v="50361"/>
    <x v="0"/>
    <x v="0"/>
    <x v="0"/>
    <x v="0"/>
    <x v="0"/>
    <x v="0"/>
    <x v="0"/>
  </r>
  <r>
    <x v="1"/>
    <s v="Richard"/>
    <s v="Hernandez"/>
    <x v="1"/>
    <x v="1"/>
    <x v="1"/>
    <n v="112673"/>
    <x v="1"/>
    <x v="0"/>
    <x v="1"/>
    <x v="1"/>
    <x v="0"/>
    <x v="0"/>
    <x v="1"/>
  </r>
  <r>
    <x v="2"/>
    <s v="Emily"/>
    <s v="Gonzalez"/>
    <x v="2"/>
    <x v="0"/>
    <x v="2"/>
    <n v="114425"/>
    <x v="2"/>
    <x v="1"/>
    <x v="0"/>
    <x v="2"/>
    <x v="0"/>
    <x v="0"/>
    <x v="2"/>
  </r>
  <r>
    <x v="3"/>
    <s v="John"/>
    <s v="Martinez"/>
    <x v="3"/>
    <x v="2"/>
    <x v="3"/>
    <n v="103831"/>
    <x v="3"/>
    <x v="0"/>
    <x v="2"/>
    <x v="3"/>
    <x v="0"/>
    <x v="0"/>
    <x v="3"/>
  </r>
  <r>
    <x v="4"/>
    <s v="Thomas"/>
    <s v="Smith"/>
    <x v="4"/>
    <x v="0"/>
    <x v="4"/>
    <n v="73785"/>
    <x v="4"/>
    <x v="1"/>
    <x v="0"/>
    <x v="4"/>
    <x v="1"/>
    <x v="1"/>
    <x v="4"/>
  </r>
  <r>
    <x v="5"/>
    <s v="Emily"/>
    <s v="Johnson"/>
    <x v="5"/>
    <x v="3"/>
    <x v="5"/>
    <n v="115882"/>
    <x v="5"/>
    <x v="0"/>
    <x v="3"/>
    <x v="5"/>
    <x v="1"/>
    <x v="1"/>
    <x v="4"/>
  </r>
  <r>
    <x v="6"/>
    <s v="John"/>
    <s v="Wilson"/>
    <x v="6"/>
    <x v="3"/>
    <x v="6"/>
    <n v="59980"/>
    <x v="3"/>
    <x v="1"/>
    <x v="3"/>
    <x v="6"/>
    <x v="0"/>
    <x v="0"/>
    <x v="5"/>
  </r>
  <r>
    <x v="7"/>
    <s v="Jessica"/>
    <s v="Smith"/>
    <x v="7"/>
    <x v="3"/>
    <x v="7"/>
    <n v="68728"/>
    <x v="6"/>
    <x v="0"/>
    <x v="3"/>
    <x v="7"/>
    <x v="1"/>
    <x v="1"/>
    <x v="4"/>
  </r>
  <r>
    <x v="8"/>
    <s v="Rodriguez"/>
    <s v="Rodriguez"/>
    <x v="8"/>
    <x v="2"/>
    <x v="8"/>
    <n v="102139"/>
    <x v="7"/>
    <x v="0"/>
    <x v="2"/>
    <x v="8"/>
    <x v="2"/>
    <x v="2"/>
    <x v="6"/>
  </r>
  <r>
    <x v="9"/>
    <s v="Michael"/>
    <s v="Martinez"/>
    <x v="9"/>
    <x v="4"/>
    <x v="9"/>
    <n v="94998"/>
    <x v="8"/>
    <x v="0"/>
    <x v="4"/>
    <x v="2"/>
    <x v="0"/>
    <x v="0"/>
    <x v="7"/>
  </r>
  <r>
    <x v="10"/>
    <s v="Emily"/>
    <s v="Miller"/>
    <x v="10"/>
    <x v="4"/>
    <x v="10"/>
    <n v="118635"/>
    <x v="5"/>
    <x v="0"/>
    <x v="4"/>
    <x v="9"/>
    <x v="1"/>
    <x v="1"/>
    <x v="4"/>
  </r>
  <r>
    <x v="11"/>
    <s v="Emily"/>
    <s v="Hernandez"/>
    <x v="11"/>
    <x v="0"/>
    <x v="11"/>
    <n v="76918"/>
    <x v="9"/>
    <x v="0"/>
    <x v="0"/>
    <x v="2"/>
    <x v="0"/>
    <x v="0"/>
    <x v="8"/>
  </r>
  <r>
    <x v="12"/>
    <s v="Jane"/>
    <s v="Williams"/>
    <x v="12"/>
    <x v="1"/>
    <x v="12"/>
    <n v="61408"/>
    <x v="10"/>
    <x v="0"/>
    <x v="1"/>
    <x v="10"/>
    <x v="1"/>
    <x v="1"/>
    <x v="4"/>
  </r>
  <r>
    <x v="13"/>
    <s v="Jane"/>
    <s v="Miller"/>
    <x v="13"/>
    <x v="1"/>
    <x v="13"/>
    <n v="99990"/>
    <x v="2"/>
    <x v="0"/>
    <x v="1"/>
    <x v="11"/>
    <x v="0"/>
    <x v="0"/>
    <x v="9"/>
  </r>
  <r>
    <x v="14"/>
    <s v="Robert"/>
    <s v="Jones"/>
    <x v="14"/>
    <x v="1"/>
    <x v="14"/>
    <n v="80385"/>
    <x v="1"/>
    <x v="0"/>
    <x v="1"/>
    <x v="12"/>
    <x v="0"/>
    <x v="0"/>
    <x v="10"/>
  </r>
  <r>
    <x v="15"/>
    <s v="Thomas"/>
    <s v="Rodriguez"/>
    <x v="15"/>
    <x v="4"/>
    <x v="15"/>
    <n v="65290"/>
    <x v="11"/>
    <x v="0"/>
    <x v="4"/>
    <x v="13"/>
    <x v="2"/>
    <x v="2"/>
    <x v="11"/>
  </r>
  <r>
    <x v="16"/>
    <s v="Emily"/>
    <s v="Davis"/>
    <x v="16"/>
    <x v="0"/>
    <x v="16"/>
    <n v="105765"/>
    <x v="12"/>
    <x v="0"/>
    <x v="0"/>
    <x v="14"/>
    <x v="1"/>
    <x v="1"/>
    <x v="4"/>
  </r>
  <r>
    <x v="17"/>
    <s v="James"/>
    <s v="Martinez"/>
    <x v="17"/>
    <x v="4"/>
    <x v="17"/>
    <n v="102921"/>
    <x v="5"/>
    <x v="0"/>
    <x v="4"/>
    <x v="15"/>
    <x v="1"/>
    <x v="1"/>
    <x v="4"/>
  </r>
  <r>
    <x v="18"/>
    <s v="Ashley"/>
    <s v="Lopez"/>
    <x v="18"/>
    <x v="1"/>
    <x v="18"/>
    <n v="73984"/>
    <x v="13"/>
    <x v="0"/>
    <x v="1"/>
    <x v="16"/>
    <x v="3"/>
    <x v="3"/>
    <x v="12"/>
  </r>
  <r>
    <x v="19"/>
    <s v="Amanda"/>
    <s v="Gonzalez"/>
    <x v="19"/>
    <x v="0"/>
    <x v="19"/>
    <n v="83604"/>
    <x v="14"/>
    <x v="0"/>
    <x v="0"/>
    <x v="17"/>
    <x v="2"/>
    <x v="2"/>
    <x v="13"/>
  </r>
  <r>
    <x v="20"/>
    <s v="Michael"/>
    <s v="Hernandez"/>
    <x v="20"/>
    <x v="2"/>
    <x v="20"/>
    <n v="118527"/>
    <x v="15"/>
    <x v="0"/>
    <x v="2"/>
    <x v="18"/>
    <x v="1"/>
    <x v="1"/>
    <x v="4"/>
  </r>
  <r>
    <x v="21"/>
    <s v="Richard"/>
    <s v="Hernandez"/>
    <x v="1"/>
    <x v="1"/>
    <x v="21"/>
    <n v="107871"/>
    <x v="16"/>
    <x v="0"/>
    <x v="1"/>
    <x v="10"/>
    <x v="3"/>
    <x v="3"/>
    <x v="14"/>
  </r>
  <r>
    <x v="22"/>
    <s v="Michael"/>
    <s v="Rodriguez"/>
    <x v="21"/>
    <x v="0"/>
    <x v="22"/>
    <n v="93956"/>
    <x v="15"/>
    <x v="1"/>
    <x v="0"/>
    <x v="19"/>
    <x v="1"/>
    <x v="1"/>
    <x v="4"/>
  </r>
  <r>
    <x v="23"/>
    <s v="Jessica"/>
    <s v="Johnson"/>
    <x v="22"/>
    <x v="2"/>
    <x v="23"/>
    <n v="100851"/>
    <x v="17"/>
    <x v="0"/>
    <x v="2"/>
    <x v="17"/>
    <x v="0"/>
    <x v="0"/>
    <x v="15"/>
  </r>
  <r>
    <x v="24"/>
    <s v="Ashley"/>
    <s v="Williams"/>
    <x v="23"/>
    <x v="4"/>
    <x v="24"/>
    <n v="68655"/>
    <x v="18"/>
    <x v="0"/>
    <x v="4"/>
    <x v="20"/>
    <x v="1"/>
    <x v="1"/>
    <x v="4"/>
  </r>
  <r>
    <x v="25"/>
    <s v="Williams"/>
    <s v="Williams"/>
    <x v="24"/>
    <x v="4"/>
    <x v="25"/>
    <n v="81205"/>
    <x v="19"/>
    <x v="0"/>
    <x v="4"/>
    <x v="13"/>
    <x v="0"/>
    <x v="0"/>
    <x v="16"/>
  </r>
  <r>
    <x v="26"/>
    <s v="John"/>
    <s v="Wilson"/>
    <x v="6"/>
    <x v="4"/>
    <x v="26"/>
    <n v="77610"/>
    <x v="16"/>
    <x v="0"/>
    <x v="4"/>
    <x v="21"/>
    <x v="3"/>
    <x v="3"/>
    <x v="17"/>
  </r>
  <r>
    <x v="27"/>
    <s v="Thomas"/>
    <s v="Rodriguez"/>
    <x v="15"/>
    <x v="0"/>
    <x v="27"/>
    <n v="50873"/>
    <x v="20"/>
    <x v="0"/>
    <x v="0"/>
    <x v="22"/>
    <x v="3"/>
    <x v="3"/>
    <x v="18"/>
  </r>
  <r>
    <x v="28"/>
    <s v="Michael"/>
    <s v="Wilson"/>
    <x v="25"/>
    <x v="2"/>
    <x v="28"/>
    <n v="85312"/>
    <x v="21"/>
    <x v="0"/>
    <x v="2"/>
    <x v="23"/>
    <x v="0"/>
    <x v="0"/>
    <x v="19"/>
  </r>
  <r>
    <x v="29"/>
    <s v="John"/>
    <s v="Rodriguez"/>
    <x v="26"/>
    <x v="4"/>
    <x v="29"/>
    <n v="83604"/>
    <x v="1"/>
    <x v="0"/>
    <x v="4"/>
    <x v="24"/>
    <x v="0"/>
    <x v="0"/>
    <x v="20"/>
  </r>
  <r>
    <x v="30"/>
    <s v="Thomas"/>
    <s v="Hernandez"/>
    <x v="27"/>
    <x v="3"/>
    <x v="30"/>
    <n v="97055"/>
    <x v="22"/>
    <x v="0"/>
    <x v="3"/>
    <x v="25"/>
    <x v="2"/>
    <x v="2"/>
    <x v="21"/>
  </r>
  <r>
    <x v="31"/>
    <s v="Michael"/>
    <s v="Johnson"/>
    <x v="28"/>
    <x v="0"/>
    <x v="31"/>
    <n v="66069"/>
    <x v="23"/>
    <x v="0"/>
    <x v="0"/>
    <x v="26"/>
    <x v="2"/>
    <x v="2"/>
    <x v="22"/>
  </r>
  <r>
    <x v="32"/>
    <s v="Sarah"/>
    <s v="Brown"/>
    <x v="29"/>
    <x v="0"/>
    <x v="32"/>
    <n v="90157"/>
    <x v="8"/>
    <x v="0"/>
    <x v="0"/>
    <x v="21"/>
    <x v="0"/>
    <x v="0"/>
    <x v="23"/>
  </r>
  <r>
    <x v="33"/>
    <s v="Jane"/>
    <s v="Martinez"/>
    <x v="30"/>
    <x v="5"/>
    <x v="33"/>
    <n v="59899"/>
    <x v="24"/>
    <x v="0"/>
    <x v="5"/>
    <x v="27"/>
    <x v="2"/>
    <x v="2"/>
    <x v="24"/>
  </r>
  <r>
    <x v="34"/>
    <s v="Emily"/>
    <s v="Jones"/>
    <x v="31"/>
    <x v="2"/>
    <x v="34"/>
    <n v="113389"/>
    <x v="25"/>
    <x v="0"/>
    <x v="2"/>
    <x v="28"/>
    <x v="1"/>
    <x v="1"/>
    <x v="4"/>
  </r>
  <r>
    <x v="35"/>
    <s v="Brown"/>
    <s v="Brown"/>
    <x v="32"/>
    <x v="0"/>
    <x v="35"/>
    <n v="102691"/>
    <x v="0"/>
    <x v="0"/>
    <x v="0"/>
    <x v="29"/>
    <x v="0"/>
    <x v="0"/>
    <x v="25"/>
  </r>
  <r>
    <x v="36"/>
    <s v="John"/>
    <s v="Wilson"/>
    <x v="6"/>
    <x v="3"/>
    <x v="36"/>
    <n v="111845"/>
    <x v="26"/>
    <x v="0"/>
    <x v="3"/>
    <x v="30"/>
    <x v="4"/>
    <x v="4"/>
    <x v="26"/>
  </r>
  <r>
    <x v="37"/>
    <s v="Melissa"/>
    <s v="Brown"/>
    <x v="33"/>
    <x v="4"/>
    <x v="37"/>
    <n v="69219"/>
    <x v="13"/>
    <x v="0"/>
    <x v="4"/>
    <x v="22"/>
    <x v="3"/>
    <x v="3"/>
    <x v="27"/>
  </r>
  <r>
    <x v="38"/>
    <s v="Michael"/>
    <s v="Smith"/>
    <x v="34"/>
    <x v="2"/>
    <x v="38"/>
    <n v="83604"/>
    <x v="22"/>
    <x v="1"/>
    <x v="2"/>
    <x v="31"/>
    <x v="2"/>
    <x v="2"/>
    <x v="13"/>
  </r>
  <r>
    <x v="39"/>
    <s v="Sarah"/>
    <s v="Miller"/>
    <x v="35"/>
    <x v="3"/>
    <x v="39"/>
    <n v="57514"/>
    <x v="1"/>
    <x v="0"/>
    <x v="3"/>
    <x v="32"/>
    <x v="0"/>
    <x v="0"/>
    <x v="28"/>
  </r>
  <r>
    <x v="40"/>
    <s v="Emily"/>
    <s v="Wilson"/>
    <x v="36"/>
    <x v="4"/>
    <x v="40"/>
    <n v="86245"/>
    <x v="27"/>
    <x v="1"/>
    <x v="4"/>
    <x v="33"/>
    <x v="2"/>
    <x v="2"/>
    <x v="29"/>
  </r>
  <r>
    <x v="41"/>
    <s v="David"/>
    <s v="Hernandez"/>
    <x v="37"/>
    <x v="4"/>
    <x v="41"/>
    <n v="52407"/>
    <x v="28"/>
    <x v="0"/>
    <x v="4"/>
    <x v="34"/>
    <x v="0"/>
    <x v="0"/>
    <x v="30"/>
  </r>
  <r>
    <x v="42"/>
    <s v="James"/>
    <s v="Smith"/>
    <x v="38"/>
    <x v="3"/>
    <x v="42"/>
    <n v="66606"/>
    <x v="13"/>
    <x v="2"/>
    <x v="3"/>
    <x v="35"/>
    <x v="3"/>
    <x v="3"/>
    <x v="31"/>
  </r>
  <r>
    <x v="43"/>
    <s v="Sarah"/>
    <s v="Williams"/>
    <x v="39"/>
    <x v="0"/>
    <x v="43"/>
    <n v="81896"/>
    <x v="7"/>
    <x v="2"/>
    <x v="0"/>
    <x v="21"/>
    <x v="2"/>
    <x v="2"/>
    <x v="32"/>
  </r>
  <r>
    <x v="44"/>
    <s v="Amanda"/>
    <s v="Lopez"/>
    <x v="40"/>
    <x v="4"/>
    <x v="23"/>
    <n v="78402"/>
    <x v="2"/>
    <x v="0"/>
    <x v="4"/>
    <x v="17"/>
    <x v="0"/>
    <x v="0"/>
    <x v="33"/>
  </r>
  <r>
    <x v="45"/>
    <s v="Thomas"/>
    <s v="Lopez"/>
    <x v="41"/>
    <x v="3"/>
    <x v="44"/>
    <n v="105498"/>
    <x v="29"/>
    <x v="0"/>
    <x v="3"/>
    <x v="36"/>
    <x v="2"/>
    <x v="2"/>
    <x v="34"/>
  </r>
  <r>
    <x v="46"/>
    <s v="Melissa"/>
    <s v="Johnson"/>
    <x v="42"/>
    <x v="1"/>
    <x v="45"/>
    <n v="91749"/>
    <x v="23"/>
    <x v="1"/>
    <x v="1"/>
    <x v="21"/>
    <x v="2"/>
    <x v="2"/>
    <x v="35"/>
  </r>
  <r>
    <x v="47"/>
    <s v="Amanda"/>
    <s v="Johnson"/>
    <x v="43"/>
    <x v="3"/>
    <x v="46"/>
    <n v="99935"/>
    <x v="30"/>
    <x v="2"/>
    <x v="3"/>
    <x v="37"/>
    <x v="2"/>
    <x v="2"/>
    <x v="36"/>
  </r>
  <r>
    <x v="48"/>
    <s v="John"/>
    <s v="Davis"/>
    <x v="44"/>
    <x v="0"/>
    <x v="47"/>
    <n v="83531"/>
    <x v="25"/>
    <x v="1"/>
    <x v="0"/>
    <x v="38"/>
    <x v="1"/>
    <x v="1"/>
    <x v="4"/>
  </r>
  <r>
    <x v="49"/>
    <s v="James"/>
    <s v="Johnson"/>
    <x v="45"/>
    <x v="1"/>
    <x v="48"/>
    <n v="75023"/>
    <x v="1"/>
    <x v="0"/>
    <x v="1"/>
    <x v="11"/>
    <x v="0"/>
    <x v="0"/>
    <x v="37"/>
  </r>
  <r>
    <x v="50"/>
    <s v="Jane"/>
    <s v="Davis"/>
    <x v="46"/>
    <x v="5"/>
    <x v="49"/>
    <n v="93290"/>
    <x v="31"/>
    <x v="0"/>
    <x v="5"/>
    <x v="39"/>
    <x v="0"/>
    <x v="0"/>
    <x v="38"/>
  </r>
  <r>
    <x v="51"/>
    <s v="Richard"/>
    <s v="Davis"/>
    <x v="47"/>
    <x v="3"/>
    <x v="50"/>
    <n v="115527"/>
    <x v="32"/>
    <x v="2"/>
    <x v="3"/>
    <x v="40"/>
    <x v="0"/>
    <x v="0"/>
    <x v="39"/>
  </r>
  <r>
    <x v="52"/>
    <s v="Thomas"/>
    <s v="Rodriguez"/>
    <x v="15"/>
    <x v="2"/>
    <x v="45"/>
    <n v="55920"/>
    <x v="30"/>
    <x v="0"/>
    <x v="2"/>
    <x v="21"/>
    <x v="2"/>
    <x v="2"/>
    <x v="40"/>
  </r>
  <r>
    <x v="53"/>
    <s v="Emily"/>
    <s v="Johnson"/>
    <x v="5"/>
    <x v="4"/>
    <x v="51"/>
    <n v="80189"/>
    <x v="25"/>
    <x v="0"/>
    <x v="4"/>
    <x v="41"/>
    <x v="1"/>
    <x v="1"/>
    <x v="4"/>
  </r>
  <r>
    <x v="54"/>
    <s v="Emily"/>
    <s v="Garcia"/>
    <x v="48"/>
    <x v="5"/>
    <x v="52"/>
    <n v="118947"/>
    <x v="33"/>
    <x v="0"/>
    <x v="5"/>
    <x v="42"/>
    <x v="4"/>
    <x v="4"/>
    <x v="41"/>
  </r>
  <r>
    <x v="55"/>
    <s v="Jane"/>
    <s v="Anderson"/>
    <x v="49"/>
    <x v="0"/>
    <x v="53"/>
    <n v="83604"/>
    <x v="2"/>
    <x v="0"/>
    <x v="0"/>
    <x v="43"/>
    <x v="0"/>
    <x v="0"/>
    <x v="20"/>
  </r>
  <r>
    <x v="56"/>
    <s v="Thomas"/>
    <s v="Garcia"/>
    <x v="50"/>
    <x v="3"/>
    <x v="54"/>
    <n v="83604"/>
    <x v="14"/>
    <x v="0"/>
    <x v="3"/>
    <x v="44"/>
    <x v="2"/>
    <x v="2"/>
    <x v="13"/>
  </r>
  <r>
    <x v="57"/>
    <s v="David"/>
    <s v="Martinez"/>
    <x v="51"/>
    <x v="5"/>
    <x v="55"/>
    <n v="91655"/>
    <x v="34"/>
    <x v="0"/>
    <x v="5"/>
    <x v="45"/>
    <x v="3"/>
    <x v="3"/>
    <x v="42"/>
  </r>
  <r>
    <x v="58"/>
    <s v="Emily"/>
    <s v="Brown"/>
    <x v="0"/>
    <x v="0"/>
    <x v="56"/>
    <n v="49435"/>
    <x v="1"/>
    <x v="1"/>
    <x v="0"/>
    <x v="6"/>
    <x v="0"/>
    <x v="0"/>
    <x v="43"/>
  </r>
  <r>
    <x v="59"/>
    <s v="Emily"/>
    <s v="Wilson"/>
    <x v="36"/>
    <x v="4"/>
    <x v="57"/>
    <n v="110381"/>
    <x v="13"/>
    <x v="0"/>
    <x v="4"/>
    <x v="46"/>
    <x v="3"/>
    <x v="3"/>
    <x v="44"/>
  </r>
  <r>
    <x v="60"/>
    <s v="Michael"/>
    <s v="Anderson"/>
    <x v="52"/>
    <x v="5"/>
    <x v="58"/>
    <n v="114748"/>
    <x v="35"/>
    <x v="0"/>
    <x v="5"/>
    <x v="31"/>
    <x v="1"/>
    <x v="1"/>
    <x v="4"/>
  </r>
  <r>
    <x v="61"/>
    <s v="Robert"/>
    <s v="Johnson"/>
    <x v="53"/>
    <x v="3"/>
    <x v="59"/>
    <n v="63302"/>
    <x v="36"/>
    <x v="0"/>
    <x v="3"/>
    <x v="15"/>
    <x v="3"/>
    <x v="3"/>
    <x v="45"/>
  </r>
  <r>
    <x v="62"/>
    <s v="Robert"/>
    <s v="Miller"/>
    <x v="54"/>
    <x v="0"/>
    <x v="60"/>
    <n v="75519"/>
    <x v="17"/>
    <x v="0"/>
    <x v="0"/>
    <x v="25"/>
    <x v="0"/>
    <x v="0"/>
    <x v="46"/>
  </r>
  <r>
    <x v="63"/>
    <s v="Jane"/>
    <s v="Davis"/>
    <x v="46"/>
    <x v="2"/>
    <x v="61"/>
    <n v="103891"/>
    <x v="22"/>
    <x v="0"/>
    <x v="2"/>
    <x v="47"/>
    <x v="2"/>
    <x v="2"/>
    <x v="47"/>
  </r>
  <r>
    <x v="64"/>
    <s v="Thomas"/>
    <s v="Davis"/>
    <x v="55"/>
    <x v="3"/>
    <x v="62"/>
    <n v="83604"/>
    <x v="37"/>
    <x v="1"/>
    <x v="3"/>
    <x v="48"/>
    <x v="1"/>
    <x v="1"/>
    <x v="4"/>
  </r>
  <r>
    <x v="65"/>
    <s v="Thomas"/>
    <s v="Jones"/>
    <x v="56"/>
    <x v="1"/>
    <x v="63"/>
    <n v="50936"/>
    <x v="38"/>
    <x v="0"/>
    <x v="1"/>
    <x v="49"/>
    <x v="4"/>
    <x v="4"/>
    <x v="48"/>
  </r>
  <r>
    <x v="66"/>
    <s v="Michael"/>
    <s v="Miller"/>
    <x v="57"/>
    <x v="4"/>
    <x v="64"/>
    <n v="111240"/>
    <x v="1"/>
    <x v="0"/>
    <x v="4"/>
    <x v="28"/>
    <x v="0"/>
    <x v="0"/>
    <x v="49"/>
  </r>
  <r>
    <x v="67"/>
    <s v="Richard"/>
    <s v="Gonzalez"/>
    <x v="58"/>
    <x v="5"/>
    <x v="65"/>
    <n v="51567"/>
    <x v="39"/>
    <x v="2"/>
    <x v="5"/>
    <x v="50"/>
    <x v="3"/>
    <x v="3"/>
    <x v="50"/>
  </r>
  <r>
    <x v="68"/>
    <s v="Melissa"/>
    <s v="Williams"/>
    <x v="59"/>
    <x v="5"/>
    <x v="66"/>
    <n v="83604"/>
    <x v="40"/>
    <x v="0"/>
    <x v="5"/>
    <x v="51"/>
    <x v="1"/>
    <x v="1"/>
    <x v="4"/>
  </r>
  <r>
    <x v="69"/>
    <s v="Robert"/>
    <s v="Miller"/>
    <x v="54"/>
    <x v="5"/>
    <x v="67"/>
    <n v="55270"/>
    <x v="39"/>
    <x v="0"/>
    <x v="5"/>
    <x v="32"/>
    <x v="3"/>
    <x v="3"/>
    <x v="51"/>
  </r>
  <r>
    <x v="70"/>
    <s v="William"/>
    <s v="Garcia"/>
    <x v="60"/>
    <x v="4"/>
    <x v="68"/>
    <n v="65235"/>
    <x v="41"/>
    <x v="0"/>
    <x v="4"/>
    <x v="24"/>
    <x v="4"/>
    <x v="4"/>
    <x v="52"/>
  </r>
  <r>
    <x v="71"/>
    <s v="John"/>
    <s v="Gonzalez"/>
    <x v="61"/>
    <x v="4"/>
    <x v="55"/>
    <n v="83604"/>
    <x v="23"/>
    <x v="1"/>
    <x v="4"/>
    <x v="45"/>
    <x v="2"/>
    <x v="2"/>
    <x v="13"/>
  </r>
  <r>
    <x v="72"/>
    <s v="James"/>
    <s v="Gonzalez"/>
    <x v="62"/>
    <x v="4"/>
    <x v="69"/>
    <n v="83604"/>
    <x v="42"/>
    <x v="1"/>
    <x v="4"/>
    <x v="48"/>
    <x v="0"/>
    <x v="0"/>
    <x v="20"/>
  </r>
  <r>
    <x v="73"/>
    <s v="Jane"/>
    <s v="Gonzalez"/>
    <x v="63"/>
    <x v="4"/>
    <x v="70"/>
    <n v="83604"/>
    <x v="43"/>
    <x v="0"/>
    <x v="4"/>
    <x v="52"/>
    <x v="0"/>
    <x v="0"/>
    <x v="20"/>
  </r>
  <r>
    <x v="74"/>
    <s v="David"/>
    <s v="Wilson"/>
    <x v="64"/>
    <x v="3"/>
    <x v="71"/>
    <n v="48823"/>
    <x v="44"/>
    <x v="0"/>
    <x v="3"/>
    <x v="49"/>
    <x v="1"/>
    <x v="1"/>
    <x v="4"/>
  </r>
  <r>
    <x v="75"/>
    <s v="Jane"/>
    <s v="Gonzalez"/>
    <x v="63"/>
    <x v="2"/>
    <x v="72"/>
    <n v="45196"/>
    <x v="24"/>
    <x v="1"/>
    <x v="2"/>
    <x v="50"/>
    <x v="2"/>
    <x v="2"/>
    <x v="53"/>
  </r>
  <r>
    <x v="76"/>
    <s v="Jane"/>
    <s v="Rodriguez"/>
    <x v="65"/>
    <x v="0"/>
    <x v="73"/>
    <n v="86246"/>
    <x v="45"/>
    <x v="0"/>
    <x v="0"/>
    <x v="38"/>
    <x v="0"/>
    <x v="0"/>
    <x v="54"/>
  </r>
  <r>
    <x v="77"/>
    <s v="Emily"/>
    <s v="Miller"/>
    <x v="10"/>
    <x v="4"/>
    <x v="74"/>
    <n v="70359"/>
    <x v="46"/>
    <x v="1"/>
    <x v="4"/>
    <x v="53"/>
    <x v="2"/>
    <x v="2"/>
    <x v="55"/>
  </r>
  <r>
    <x v="78"/>
    <s v="Sarah"/>
    <s v="Miller"/>
    <x v="35"/>
    <x v="1"/>
    <x v="75"/>
    <n v="83604"/>
    <x v="47"/>
    <x v="0"/>
    <x v="1"/>
    <x v="50"/>
    <x v="3"/>
    <x v="3"/>
    <x v="56"/>
  </r>
  <r>
    <x v="79"/>
    <s v="Jessica"/>
    <s v="Garcia"/>
    <x v="66"/>
    <x v="3"/>
    <x v="76"/>
    <n v="86480"/>
    <x v="1"/>
    <x v="0"/>
    <x v="3"/>
    <x v="14"/>
    <x v="0"/>
    <x v="0"/>
    <x v="57"/>
  </r>
  <r>
    <x v="80"/>
    <s v="Richard"/>
    <s v="Smith"/>
    <x v="67"/>
    <x v="5"/>
    <x v="77"/>
    <n v="47694"/>
    <x v="14"/>
    <x v="0"/>
    <x v="5"/>
    <x v="54"/>
    <x v="2"/>
    <x v="2"/>
    <x v="58"/>
  </r>
  <r>
    <x v="81"/>
    <s v="Melissa"/>
    <s v="Wilson"/>
    <x v="68"/>
    <x v="0"/>
    <x v="78"/>
    <n v="83724"/>
    <x v="48"/>
    <x v="2"/>
    <x v="0"/>
    <x v="4"/>
    <x v="2"/>
    <x v="2"/>
    <x v="59"/>
  </r>
  <r>
    <x v="82"/>
    <s v="Thomas"/>
    <s v="Williams"/>
    <x v="69"/>
    <x v="2"/>
    <x v="79"/>
    <n v="98299"/>
    <x v="45"/>
    <x v="0"/>
    <x v="2"/>
    <x v="22"/>
    <x v="0"/>
    <x v="0"/>
    <x v="60"/>
  </r>
  <r>
    <x v="83"/>
    <s v="David"/>
    <s v="Williams"/>
    <x v="70"/>
    <x v="2"/>
    <x v="80"/>
    <n v="83604"/>
    <x v="1"/>
    <x v="0"/>
    <x v="2"/>
    <x v="51"/>
    <x v="0"/>
    <x v="0"/>
    <x v="20"/>
  </r>
  <r>
    <x v="84"/>
    <s v="John"/>
    <s v="Johnson"/>
    <x v="71"/>
    <x v="0"/>
    <x v="81"/>
    <n v="52287"/>
    <x v="3"/>
    <x v="0"/>
    <x v="0"/>
    <x v="26"/>
    <x v="0"/>
    <x v="0"/>
    <x v="61"/>
  </r>
  <r>
    <x v="85"/>
    <s v="Richard"/>
    <s v="Gonzalez"/>
    <x v="58"/>
    <x v="0"/>
    <x v="82"/>
    <n v="82633"/>
    <x v="26"/>
    <x v="0"/>
    <x v="0"/>
    <x v="55"/>
    <x v="4"/>
    <x v="4"/>
    <x v="62"/>
  </r>
  <r>
    <x v="86"/>
    <s v="Melissa"/>
    <s v="Anderson"/>
    <x v="72"/>
    <x v="3"/>
    <x v="83"/>
    <n v="46508"/>
    <x v="44"/>
    <x v="0"/>
    <x v="3"/>
    <x v="37"/>
    <x v="1"/>
    <x v="1"/>
    <x v="4"/>
  </r>
  <r>
    <x v="87"/>
    <s v="Emily"/>
    <s v="Gonzalez"/>
    <x v="2"/>
    <x v="5"/>
    <x v="84"/>
    <n v="86232"/>
    <x v="13"/>
    <x v="0"/>
    <x v="5"/>
    <x v="56"/>
    <x v="3"/>
    <x v="3"/>
    <x v="63"/>
  </r>
  <r>
    <x v="88"/>
    <s v="Jane"/>
    <s v="Davis"/>
    <x v="46"/>
    <x v="0"/>
    <x v="85"/>
    <n v="77545"/>
    <x v="10"/>
    <x v="0"/>
    <x v="0"/>
    <x v="15"/>
    <x v="1"/>
    <x v="1"/>
    <x v="4"/>
  </r>
  <r>
    <x v="89"/>
    <s v="William"/>
    <s v="Gonzalez"/>
    <x v="73"/>
    <x v="3"/>
    <x v="86"/>
    <n v="68683"/>
    <x v="20"/>
    <x v="0"/>
    <x v="3"/>
    <x v="45"/>
    <x v="3"/>
    <x v="3"/>
    <x v="64"/>
  </r>
  <r>
    <x v="90"/>
    <s v="Thomas"/>
    <s v="Jones"/>
    <x v="56"/>
    <x v="2"/>
    <x v="87"/>
    <n v="83932"/>
    <x v="49"/>
    <x v="1"/>
    <x v="2"/>
    <x v="57"/>
    <x v="0"/>
    <x v="0"/>
    <x v="65"/>
  </r>
  <r>
    <x v="91"/>
    <s v="Jessica"/>
    <s v="Anderson"/>
    <x v="74"/>
    <x v="5"/>
    <x v="88"/>
    <n v="56073"/>
    <x v="7"/>
    <x v="0"/>
    <x v="5"/>
    <x v="58"/>
    <x v="2"/>
    <x v="2"/>
    <x v="66"/>
  </r>
  <r>
    <x v="92"/>
    <s v="Melissa"/>
    <s v="Johnson"/>
    <x v="42"/>
    <x v="0"/>
    <x v="89"/>
    <n v="88056"/>
    <x v="21"/>
    <x v="0"/>
    <x v="0"/>
    <x v="16"/>
    <x v="0"/>
    <x v="0"/>
    <x v="67"/>
  </r>
  <r>
    <x v="93"/>
    <s v="Thomas"/>
    <s v="Miller"/>
    <x v="75"/>
    <x v="3"/>
    <x v="90"/>
    <n v="67414"/>
    <x v="30"/>
    <x v="1"/>
    <x v="3"/>
    <x v="59"/>
    <x v="2"/>
    <x v="2"/>
    <x v="68"/>
  </r>
  <r>
    <x v="94"/>
    <s v="William"/>
    <s v="Gonzalez"/>
    <x v="73"/>
    <x v="4"/>
    <x v="91"/>
    <n v="115288"/>
    <x v="45"/>
    <x v="0"/>
    <x v="4"/>
    <x v="60"/>
    <x v="0"/>
    <x v="0"/>
    <x v="69"/>
  </r>
  <r>
    <x v="95"/>
    <s v="Smith"/>
    <s v="Smith"/>
    <x v="76"/>
    <x v="4"/>
    <x v="92"/>
    <n v="80140"/>
    <x v="8"/>
    <x v="0"/>
    <x v="4"/>
    <x v="23"/>
    <x v="0"/>
    <x v="0"/>
    <x v="70"/>
  </r>
  <r>
    <x v="96"/>
    <s v="John"/>
    <s v="Johnson"/>
    <x v="71"/>
    <x v="0"/>
    <x v="93"/>
    <n v="73087"/>
    <x v="50"/>
    <x v="0"/>
    <x v="0"/>
    <x v="61"/>
    <x v="0"/>
    <x v="0"/>
    <x v="71"/>
  </r>
  <r>
    <x v="97"/>
    <s v="Jane"/>
    <s v="Johnson"/>
    <x v="77"/>
    <x v="4"/>
    <x v="94"/>
    <n v="95292"/>
    <x v="44"/>
    <x v="0"/>
    <x v="4"/>
    <x v="34"/>
    <x v="1"/>
    <x v="1"/>
    <x v="4"/>
  </r>
  <r>
    <x v="98"/>
    <s v="John"/>
    <s v="Jones"/>
    <x v="78"/>
    <x v="0"/>
    <x v="95"/>
    <n v="83604"/>
    <x v="35"/>
    <x v="0"/>
    <x v="0"/>
    <x v="35"/>
    <x v="1"/>
    <x v="1"/>
    <x v="4"/>
  </r>
  <r>
    <x v="99"/>
    <s v="Jane"/>
    <s v="Lopez"/>
    <x v="79"/>
    <x v="1"/>
    <x v="96"/>
    <n v="101750"/>
    <x v="30"/>
    <x v="1"/>
    <x v="1"/>
    <x v="58"/>
    <x v="2"/>
    <x v="2"/>
    <x v="72"/>
  </r>
  <r>
    <x v="100"/>
    <s v="Melissa"/>
    <s v="Gonzalez"/>
    <x v="80"/>
    <x v="1"/>
    <x v="73"/>
    <n v="82992"/>
    <x v="7"/>
    <x v="0"/>
    <x v="1"/>
    <x v="38"/>
    <x v="2"/>
    <x v="2"/>
    <x v="73"/>
  </r>
  <r>
    <x v="101"/>
    <s v="William"/>
    <s v="Davis"/>
    <x v="81"/>
    <x v="0"/>
    <x v="97"/>
    <n v="49942"/>
    <x v="51"/>
    <x v="0"/>
    <x v="0"/>
    <x v="26"/>
    <x v="0"/>
    <x v="0"/>
    <x v="74"/>
  </r>
  <r>
    <x v="102"/>
    <s v="John"/>
    <s v="Smith"/>
    <x v="82"/>
    <x v="3"/>
    <x v="98"/>
    <n v="89060"/>
    <x v="8"/>
    <x v="0"/>
    <x v="3"/>
    <x v="0"/>
    <x v="0"/>
    <x v="0"/>
    <x v="75"/>
  </r>
  <r>
    <x v="103"/>
    <s v="James"/>
    <s v="Gonzalez"/>
    <x v="62"/>
    <x v="0"/>
    <x v="99"/>
    <n v="53786"/>
    <x v="26"/>
    <x v="0"/>
    <x v="0"/>
    <x v="5"/>
    <x v="4"/>
    <x v="4"/>
    <x v="76"/>
  </r>
  <r>
    <x v="104"/>
    <s v="Emily"/>
    <s v="Johnson"/>
    <x v="5"/>
    <x v="3"/>
    <x v="100"/>
    <n v="81167"/>
    <x v="1"/>
    <x v="0"/>
    <x v="3"/>
    <x v="62"/>
    <x v="0"/>
    <x v="0"/>
    <x v="77"/>
  </r>
  <r>
    <x v="105"/>
    <s v="William"/>
    <s v="Williams"/>
    <x v="83"/>
    <x v="1"/>
    <x v="101"/>
    <n v="66688"/>
    <x v="4"/>
    <x v="1"/>
    <x v="1"/>
    <x v="63"/>
    <x v="1"/>
    <x v="1"/>
    <x v="4"/>
  </r>
  <r>
    <x v="106"/>
    <s v="James"/>
    <s v="Jones"/>
    <x v="84"/>
    <x v="0"/>
    <x v="102"/>
    <n v="91672"/>
    <x v="16"/>
    <x v="0"/>
    <x v="0"/>
    <x v="51"/>
    <x v="3"/>
    <x v="3"/>
    <x v="78"/>
  </r>
  <r>
    <x v="107"/>
    <s v="Jessica"/>
    <s v="Gonzalez"/>
    <x v="85"/>
    <x v="5"/>
    <x v="103"/>
    <n v="77737"/>
    <x v="11"/>
    <x v="0"/>
    <x v="5"/>
    <x v="64"/>
    <x v="2"/>
    <x v="2"/>
    <x v="79"/>
  </r>
  <r>
    <x v="108"/>
    <s v="Sarah"/>
    <s v="Miller"/>
    <x v="35"/>
    <x v="4"/>
    <x v="104"/>
    <n v="95686"/>
    <x v="36"/>
    <x v="0"/>
    <x v="4"/>
    <x v="65"/>
    <x v="3"/>
    <x v="3"/>
    <x v="80"/>
  </r>
  <r>
    <x v="109"/>
    <s v="Jessica"/>
    <s v="Smith"/>
    <x v="7"/>
    <x v="4"/>
    <x v="105"/>
    <n v="114681"/>
    <x v="40"/>
    <x v="0"/>
    <x v="4"/>
    <x v="64"/>
    <x v="1"/>
    <x v="1"/>
    <x v="4"/>
  </r>
  <r>
    <x v="110"/>
    <s v="Thomas"/>
    <s v="Jones"/>
    <x v="56"/>
    <x v="3"/>
    <x v="106"/>
    <n v="109121"/>
    <x v="23"/>
    <x v="0"/>
    <x v="3"/>
    <x v="37"/>
    <x v="2"/>
    <x v="2"/>
    <x v="81"/>
  </r>
  <r>
    <x v="111"/>
    <s v="Amanda"/>
    <s v="Brown"/>
    <x v="86"/>
    <x v="1"/>
    <x v="107"/>
    <n v="112791"/>
    <x v="39"/>
    <x v="0"/>
    <x v="1"/>
    <x v="11"/>
    <x v="3"/>
    <x v="3"/>
    <x v="82"/>
  </r>
  <r>
    <x v="112"/>
    <s v="Robert"/>
    <s v="Martinez"/>
    <x v="87"/>
    <x v="0"/>
    <x v="108"/>
    <n v="118008"/>
    <x v="27"/>
    <x v="0"/>
    <x v="0"/>
    <x v="66"/>
    <x v="2"/>
    <x v="2"/>
    <x v="83"/>
  </r>
  <r>
    <x v="113"/>
    <s v="Thomas"/>
    <s v="Miller"/>
    <x v="75"/>
    <x v="0"/>
    <x v="109"/>
    <n v="74370"/>
    <x v="52"/>
    <x v="0"/>
    <x v="0"/>
    <x v="17"/>
    <x v="2"/>
    <x v="2"/>
    <x v="84"/>
  </r>
  <r>
    <x v="114"/>
    <s v="David"/>
    <s v="Rodriguez"/>
    <x v="88"/>
    <x v="0"/>
    <x v="110"/>
    <n v="77819"/>
    <x v="7"/>
    <x v="0"/>
    <x v="0"/>
    <x v="66"/>
    <x v="2"/>
    <x v="2"/>
    <x v="85"/>
  </r>
  <r>
    <x v="115"/>
    <s v="Jane"/>
    <s v="Miller"/>
    <x v="13"/>
    <x v="1"/>
    <x v="111"/>
    <n v="48748"/>
    <x v="53"/>
    <x v="0"/>
    <x v="1"/>
    <x v="47"/>
    <x v="2"/>
    <x v="2"/>
    <x v="86"/>
  </r>
  <r>
    <x v="116"/>
    <s v="James"/>
    <s v="Rodriguez"/>
    <x v="89"/>
    <x v="3"/>
    <x v="112"/>
    <n v="101997"/>
    <x v="54"/>
    <x v="2"/>
    <x v="3"/>
    <x v="11"/>
    <x v="1"/>
    <x v="1"/>
    <x v="4"/>
  </r>
  <r>
    <x v="117"/>
    <s v="Sarah"/>
    <s v="Rodriguez"/>
    <x v="90"/>
    <x v="5"/>
    <x v="113"/>
    <n v="115260"/>
    <x v="11"/>
    <x v="0"/>
    <x v="5"/>
    <x v="43"/>
    <x v="2"/>
    <x v="2"/>
    <x v="87"/>
  </r>
  <r>
    <x v="118"/>
    <s v="Sarah"/>
    <s v="Wilson"/>
    <x v="91"/>
    <x v="4"/>
    <x v="114"/>
    <n v="83604"/>
    <x v="5"/>
    <x v="0"/>
    <x v="4"/>
    <x v="61"/>
    <x v="1"/>
    <x v="1"/>
    <x v="4"/>
  </r>
  <r>
    <x v="119"/>
    <s v="Melissa"/>
    <s v="Brown"/>
    <x v="33"/>
    <x v="0"/>
    <x v="115"/>
    <n v="83604"/>
    <x v="50"/>
    <x v="1"/>
    <x v="0"/>
    <x v="61"/>
    <x v="0"/>
    <x v="0"/>
    <x v="20"/>
  </r>
  <r>
    <x v="120"/>
    <s v="Robert"/>
    <s v="Williams"/>
    <x v="92"/>
    <x v="4"/>
    <x v="116"/>
    <n v="83604"/>
    <x v="29"/>
    <x v="0"/>
    <x v="4"/>
    <x v="32"/>
    <x v="2"/>
    <x v="2"/>
    <x v="13"/>
  </r>
  <r>
    <x v="121"/>
    <s v="Melissa"/>
    <s v="Rodriguez"/>
    <x v="93"/>
    <x v="3"/>
    <x v="117"/>
    <n v="60623"/>
    <x v="24"/>
    <x v="0"/>
    <x v="3"/>
    <x v="3"/>
    <x v="2"/>
    <x v="2"/>
    <x v="88"/>
  </r>
  <r>
    <x v="122"/>
    <s v="James"/>
    <s v="Johnson"/>
    <x v="45"/>
    <x v="5"/>
    <x v="118"/>
    <n v="68092"/>
    <x v="13"/>
    <x v="0"/>
    <x v="5"/>
    <x v="67"/>
    <x v="3"/>
    <x v="3"/>
    <x v="89"/>
  </r>
  <r>
    <x v="123"/>
    <s v="Michael"/>
    <s v="Wilson"/>
    <x v="25"/>
    <x v="1"/>
    <x v="119"/>
    <n v="88155"/>
    <x v="1"/>
    <x v="0"/>
    <x v="1"/>
    <x v="39"/>
    <x v="0"/>
    <x v="0"/>
    <x v="90"/>
  </r>
  <r>
    <x v="124"/>
    <s v="William"/>
    <s v="Jones"/>
    <x v="94"/>
    <x v="1"/>
    <x v="120"/>
    <n v="107903"/>
    <x v="12"/>
    <x v="0"/>
    <x v="1"/>
    <x v="33"/>
    <x v="1"/>
    <x v="1"/>
    <x v="4"/>
  </r>
  <r>
    <x v="125"/>
    <s v="William"/>
    <s v="Williams"/>
    <x v="83"/>
    <x v="0"/>
    <x v="121"/>
    <n v="62818"/>
    <x v="44"/>
    <x v="0"/>
    <x v="0"/>
    <x v="8"/>
    <x v="1"/>
    <x v="1"/>
    <x v="4"/>
  </r>
  <r>
    <x v="126"/>
    <s v="David"/>
    <s v="Williams"/>
    <x v="70"/>
    <x v="5"/>
    <x v="122"/>
    <n v="85151"/>
    <x v="55"/>
    <x v="0"/>
    <x v="5"/>
    <x v="8"/>
    <x v="1"/>
    <x v="1"/>
    <x v="4"/>
  </r>
  <r>
    <x v="127"/>
    <s v="Jane"/>
    <s v="Davis"/>
    <x v="46"/>
    <x v="2"/>
    <x v="123"/>
    <n v="46390"/>
    <x v="34"/>
    <x v="0"/>
    <x v="2"/>
    <x v="68"/>
    <x v="3"/>
    <x v="3"/>
    <x v="91"/>
  </r>
  <r>
    <x v="128"/>
    <s v="John"/>
    <s v="Martinez"/>
    <x v="3"/>
    <x v="5"/>
    <x v="124"/>
    <n v="111920"/>
    <x v="20"/>
    <x v="1"/>
    <x v="5"/>
    <x v="30"/>
    <x v="3"/>
    <x v="3"/>
    <x v="92"/>
  </r>
  <r>
    <x v="129"/>
    <s v="David"/>
    <s v="Anderson"/>
    <x v="95"/>
    <x v="5"/>
    <x v="125"/>
    <n v="115618"/>
    <x v="12"/>
    <x v="0"/>
    <x v="5"/>
    <x v="69"/>
    <x v="1"/>
    <x v="1"/>
    <x v="4"/>
  </r>
  <r>
    <x v="130"/>
    <s v="Sarah"/>
    <s v="Smith"/>
    <x v="96"/>
    <x v="4"/>
    <x v="126"/>
    <n v="110618"/>
    <x v="16"/>
    <x v="2"/>
    <x v="4"/>
    <x v="43"/>
    <x v="3"/>
    <x v="3"/>
    <x v="93"/>
  </r>
  <r>
    <x v="131"/>
    <s v="Melissa"/>
    <s v="Hernandez"/>
    <x v="97"/>
    <x v="3"/>
    <x v="127"/>
    <n v="108395"/>
    <x v="24"/>
    <x v="1"/>
    <x v="3"/>
    <x v="30"/>
    <x v="2"/>
    <x v="2"/>
    <x v="94"/>
  </r>
  <r>
    <x v="132"/>
    <s v="Melissa"/>
    <s v="Johnson"/>
    <x v="42"/>
    <x v="2"/>
    <x v="128"/>
    <n v="88005"/>
    <x v="50"/>
    <x v="0"/>
    <x v="2"/>
    <x v="0"/>
    <x v="0"/>
    <x v="0"/>
    <x v="95"/>
  </r>
  <r>
    <x v="133"/>
    <s v="Jane"/>
    <s v="Garcia"/>
    <x v="98"/>
    <x v="1"/>
    <x v="46"/>
    <n v="83007"/>
    <x v="52"/>
    <x v="0"/>
    <x v="1"/>
    <x v="37"/>
    <x v="2"/>
    <x v="2"/>
    <x v="96"/>
  </r>
  <r>
    <x v="134"/>
    <s v="David"/>
    <s v="Davis"/>
    <x v="99"/>
    <x v="0"/>
    <x v="129"/>
    <n v="61547"/>
    <x v="1"/>
    <x v="0"/>
    <x v="0"/>
    <x v="54"/>
    <x v="0"/>
    <x v="0"/>
    <x v="97"/>
  </r>
  <r>
    <x v="135"/>
    <s v="James"/>
    <s v="Wilson"/>
    <x v="100"/>
    <x v="4"/>
    <x v="130"/>
    <n v="83604"/>
    <x v="0"/>
    <x v="0"/>
    <x v="4"/>
    <x v="51"/>
    <x v="0"/>
    <x v="0"/>
    <x v="20"/>
  </r>
  <r>
    <x v="136"/>
    <s v="Richard"/>
    <s v="Johnson"/>
    <x v="101"/>
    <x v="3"/>
    <x v="131"/>
    <n v="50399"/>
    <x v="56"/>
    <x v="1"/>
    <x v="3"/>
    <x v="28"/>
    <x v="3"/>
    <x v="3"/>
    <x v="98"/>
  </r>
  <r>
    <x v="137"/>
    <s v="Richard"/>
    <s v="Williams"/>
    <x v="102"/>
    <x v="2"/>
    <x v="132"/>
    <n v="83604"/>
    <x v="9"/>
    <x v="0"/>
    <x v="2"/>
    <x v="58"/>
    <x v="0"/>
    <x v="0"/>
    <x v="20"/>
  </r>
  <r>
    <x v="138"/>
    <s v="John"/>
    <s v="Hernandez"/>
    <x v="103"/>
    <x v="3"/>
    <x v="133"/>
    <n v="52720"/>
    <x v="1"/>
    <x v="0"/>
    <x v="3"/>
    <x v="16"/>
    <x v="0"/>
    <x v="0"/>
    <x v="99"/>
  </r>
  <r>
    <x v="139"/>
    <s v="Sarah"/>
    <s v="Gonzalez"/>
    <x v="104"/>
    <x v="3"/>
    <x v="134"/>
    <n v="65065"/>
    <x v="26"/>
    <x v="0"/>
    <x v="3"/>
    <x v="18"/>
    <x v="4"/>
    <x v="4"/>
    <x v="100"/>
  </r>
  <r>
    <x v="140"/>
    <s v="Melissa"/>
    <s v="Hernandez"/>
    <x v="97"/>
    <x v="4"/>
    <x v="135"/>
    <n v="83604"/>
    <x v="47"/>
    <x v="2"/>
    <x v="4"/>
    <x v="24"/>
    <x v="3"/>
    <x v="3"/>
    <x v="56"/>
  </r>
  <r>
    <x v="141"/>
    <s v="Melissa"/>
    <s v="Hernandez"/>
    <x v="97"/>
    <x v="3"/>
    <x v="136"/>
    <n v="108119"/>
    <x v="49"/>
    <x v="2"/>
    <x v="3"/>
    <x v="70"/>
    <x v="0"/>
    <x v="0"/>
    <x v="101"/>
  </r>
  <r>
    <x v="142"/>
    <s v="John"/>
    <s v="Davis"/>
    <x v="44"/>
    <x v="0"/>
    <x v="137"/>
    <n v="83604"/>
    <x v="33"/>
    <x v="0"/>
    <x v="0"/>
    <x v="5"/>
    <x v="4"/>
    <x v="4"/>
    <x v="102"/>
  </r>
  <r>
    <x v="143"/>
    <s v="Richard"/>
    <s v="Davis"/>
    <x v="47"/>
    <x v="5"/>
    <x v="138"/>
    <n v="106896"/>
    <x v="0"/>
    <x v="1"/>
    <x v="5"/>
    <x v="71"/>
    <x v="0"/>
    <x v="0"/>
    <x v="103"/>
  </r>
  <r>
    <x v="144"/>
    <s v="Jones"/>
    <s v="Jones"/>
    <x v="105"/>
    <x v="0"/>
    <x v="139"/>
    <n v="112887"/>
    <x v="19"/>
    <x v="0"/>
    <x v="0"/>
    <x v="41"/>
    <x v="0"/>
    <x v="0"/>
    <x v="104"/>
  </r>
  <r>
    <x v="145"/>
    <s v="William"/>
    <s v="Rodriguez"/>
    <x v="106"/>
    <x v="2"/>
    <x v="140"/>
    <n v="85457"/>
    <x v="7"/>
    <x v="0"/>
    <x v="2"/>
    <x v="43"/>
    <x v="2"/>
    <x v="2"/>
    <x v="105"/>
  </r>
  <r>
    <x v="146"/>
    <s v="Melissa"/>
    <s v="Miller"/>
    <x v="107"/>
    <x v="4"/>
    <x v="141"/>
    <n v="62798"/>
    <x v="25"/>
    <x v="0"/>
    <x v="4"/>
    <x v="62"/>
    <x v="1"/>
    <x v="1"/>
    <x v="4"/>
  </r>
  <r>
    <x v="147"/>
    <s v="Emily"/>
    <s v="Martinez"/>
    <x v="108"/>
    <x v="3"/>
    <x v="142"/>
    <n v="47794"/>
    <x v="57"/>
    <x v="1"/>
    <x v="3"/>
    <x v="20"/>
    <x v="2"/>
    <x v="2"/>
    <x v="106"/>
  </r>
  <r>
    <x v="148"/>
    <s v="James"/>
    <s v="Rodriguez"/>
    <x v="89"/>
    <x v="1"/>
    <x v="143"/>
    <n v="93094"/>
    <x v="46"/>
    <x v="0"/>
    <x v="1"/>
    <x v="68"/>
    <x v="2"/>
    <x v="2"/>
    <x v="107"/>
  </r>
  <r>
    <x v="149"/>
    <s v="Amanda"/>
    <s v="Brown"/>
    <x v="86"/>
    <x v="0"/>
    <x v="144"/>
    <n v="118634"/>
    <x v="36"/>
    <x v="0"/>
    <x v="0"/>
    <x v="19"/>
    <x v="3"/>
    <x v="3"/>
    <x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6A9E19-2F35-462C-AEE5-4E2A401D87F2}" name="PivotTable13"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C1:D8" firstHeaderRow="1" firstDataRow="1" firstDataCol="1"/>
  <pivotFields count="16">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dataField="1" numFmtId="169" showAll="0"/>
    <pivotField showAll="0"/>
    <pivotField showAll="0"/>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numFmtId="167"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7">
    <i>
      <x/>
    </i>
    <i>
      <x v="5"/>
    </i>
    <i>
      <x v="1"/>
    </i>
    <i>
      <x v="3"/>
    </i>
    <i>
      <x v="2"/>
    </i>
    <i>
      <x v="4"/>
    </i>
    <i t="grand">
      <x/>
    </i>
  </rowItems>
  <colItems count="1">
    <i/>
  </colItems>
  <dataFields count="1">
    <dataField name="Average of Salary" fld="6" subtotal="average" baseField="0" baseItem="9" numFmtId="175"/>
  </dataFields>
  <formats count="1">
    <format dxfId="6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01F90-2393-4478-98CD-13360BB2441C}" name="PivotTable11"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Hire Date">
  <location ref="A27:B37" firstHeaderRow="1" firstDataRow="1" firstDataCol="1"/>
  <pivotFields count="16">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dataField="1" numFmtId="169" showAll="0"/>
    <pivotField showAll="0">
      <items count="59">
        <item x="25"/>
        <item x="18"/>
        <item x="35"/>
        <item x="44"/>
        <item x="55"/>
        <item x="40"/>
        <item x="54"/>
        <item x="4"/>
        <item x="12"/>
        <item x="6"/>
        <item x="37"/>
        <item x="10"/>
        <item x="5"/>
        <item x="15"/>
        <item x="51"/>
        <item x="0"/>
        <item x="31"/>
        <item x="2"/>
        <item x="28"/>
        <item x="49"/>
        <item x="8"/>
        <item x="19"/>
        <item x="45"/>
        <item x="9"/>
        <item x="32"/>
        <item x="17"/>
        <item x="42"/>
        <item x="21"/>
        <item x="43"/>
        <item x="1"/>
        <item x="50"/>
        <item x="3"/>
        <item x="27"/>
        <item x="23"/>
        <item x="57"/>
        <item x="46"/>
        <item x="14"/>
        <item x="29"/>
        <item x="11"/>
        <item x="24"/>
        <item x="7"/>
        <item x="22"/>
        <item x="48"/>
        <item x="52"/>
        <item x="53"/>
        <item x="30"/>
        <item x="39"/>
        <item x="16"/>
        <item x="20"/>
        <item x="36"/>
        <item x="56"/>
        <item x="13"/>
        <item x="47"/>
        <item x="34"/>
        <item x="33"/>
        <item x="41"/>
        <item x="26"/>
        <item x="38"/>
        <item t="default"/>
      </items>
    </pivotField>
    <pivotField showAll="0">
      <items count="4">
        <item x="0"/>
        <item x="1"/>
        <item h="1" x="2"/>
        <item t="default"/>
      </items>
    </pivotField>
    <pivotField showAll="0"/>
    <pivotField numFmtId="1" showAll="0"/>
    <pivotField showAll="0"/>
    <pivotField showAll="0"/>
    <pivotField numFmtId="167" showAll="0"/>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3">
    <field x="15"/>
    <field x="14"/>
    <field x="5"/>
  </rowFields>
  <rowItems count="10">
    <i>
      <x v="1"/>
    </i>
    <i>
      <x v="2"/>
    </i>
    <i>
      <x v="3"/>
    </i>
    <i>
      <x v="4"/>
    </i>
    <i>
      <x v="5"/>
    </i>
    <i>
      <x v="6"/>
    </i>
    <i>
      <x v="7"/>
    </i>
    <i>
      <x v="8"/>
    </i>
    <i>
      <x v="9"/>
    </i>
    <i t="grand">
      <x/>
    </i>
  </rowItems>
  <colItems count="1">
    <i/>
  </colItems>
  <dataFields count="1">
    <dataField name=" Salary per Year" fld="6" baseField="15" baseItem="1" numFmtId="169"/>
  </dataFields>
  <formats count="2">
    <format dxfId="71">
      <pivotArea grandRow="1" outline="0" collapsedLevelsAreSubtotals="1" fieldPosition="0"/>
    </format>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E30B5-7CC5-41A3-86EB-7CC2785C6D43}" name="PivotTable10"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Employment Status">
  <location ref="F11:G14" firstHeaderRow="1" firstDataRow="1" firstDataCol="1"/>
  <pivotFields count="16">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9" showAll="0"/>
    <pivotField dataField="1" showAll="0">
      <items count="59">
        <item x="25"/>
        <item x="18"/>
        <item x="35"/>
        <item x="44"/>
        <item x="55"/>
        <item x="40"/>
        <item x="54"/>
        <item x="4"/>
        <item x="12"/>
        <item x="6"/>
        <item x="37"/>
        <item x="10"/>
        <item x="5"/>
        <item x="15"/>
        <item x="51"/>
        <item x="0"/>
        <item x="31"/>
        <item x="2"/>
        <item x="28"/>
        <item x="49"/>
        <item x="8"/>
        <item x="19"/>
        <item x="45"/>
        <item x="9"/>
        <item x="32"/>
        <item x="17"/>
        <item x="42"/>
        <item x="21"/>
        <item x="43"/>
        <item x="1"/>
        <item x="50"/>
        <item x="3"/>
        <item x="27"/>
        <item x="23"/>
        <item x="57"/>
        <item x="46"/>
        <item x="14"/>
        <item x="29"/>
        <item x="11"/>
        <item x="24"/>
        <item x="7"/>
        <item x="22"/>
        <item x="48"/>
        <item x="52"/>
        <item x="53"/>
        <item x="30"/>
        <item x="39"/>
        <item x="16"/>
        <item x="20"/>
        <item x="36"/>
        <item x="56"/>
        <item x="13"/>
        <item x="47"/>
        <item x="34"/>
        <item x="33"/>
        <item x="41"/>
        <item x="26"/>
        <item x="38"/>
        <item t="default"/>
      </items>
    </pivotField>
    <pivotField axis="axisRow"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67"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3">
    <i>
      <x/>
    </i>
    <i>
      <x v="1"/>
    </i>
    <i t="grand">
      <x/>
    </i>
  </rowItems>
  <colItems count="1">
    <i/>
  </colItems>
  <dataFields count="1">
    <dataField name="Average of Perf_Score" fld="7" subtotal="average" baseField="8" baseItem="0"/>
  </dataFields>
  <formats count="2">
    <format dxfId="73">
      <pivotArea collapsedLevelsAreSubtotals="1" fieldPosition="0">
        <references count="1">
          <reference field="8" count="0"/>
        </references>
      </pivotArea>
    </format>
    <format dxfId="72">
      <pivotArea grandRow="1" outline="0" collapsedLevelsAreSubtotals="1" fieldPosition="0"/>
    </format>
  </formats>
  <chartFormats count="3">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90A06A-B8F3-48CB-A865-47F5CE1588B8}" name="PivotTable9" cacheId="52"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I1:L21" firstHeaderRow="0" firstDataRow="1" firstDataCol="2"/>
  <pivotFields count="16">
    <pivotField compact="0" outline="0" showAll="0"/>
    <pivotField compact="0" outline="0" showAll="0"/>
    <pivotField compact="0" outline="0" showAll="0"/>
    <pivotField compact="0" outline="0" showAll="0"/>
    <pivotField compact="0" outline="0" showAll="0"/>
    <pivotField compact="0" numFmtId="14" outline="0" showAll="0">
      <items count="15">
        <item x="0"/>
        <item x="1"/>
        <item x="2"/>
        <item x="3"/>
        <item x="4"/>
        <item x="5"/>
        <item x="6"/>
        <item x="7"/>
        <item x="8"/>
        <item x="9"/>
        <item x="10"/>
        <item x="11"/>
        <item x="12"/>
        <item x="13"/>
        <item t="default"/>
      </items>
    </pivotField>
    <pivotField compact="0" numFmtId="169" outline="0" showAll="0"/>
    <pivotField dataField="1" compact="0" outline="0" showAll="0"/>
    <pivotField axis="axisRow" compact="0" outline="0" showAll="0">
      <items count="4">
        <item x="0"/>
        <item x="1"/>
        <item x="2"/>
        <item t="default"/>
      </items>
    </pivotField>
    <pivotField axis="axisRow" compact="0" outline="0" showAll="0">
      <items count="7">
        <item x="2"/>
        <item x="5"/>
        <item x="0"/>
        <item x="1"/>
        <item x="3"/>
        <item x="4"/>
        <item t="default"/>
      </items>
    </pivotField>
    <pivotField compact="0" numFmtId="1" outline="0" showAll="0"/>
    <pivotField compact="0" outline="0" showAll="0"/>
    <pivotField compact="0" outline="0" showAll="0"/>
    <pivotField compact="0" numFmtId="167" outline="0" showAll="0"/>
    <pivotField compact="0" outline="0" showAll="0">
      <items count="7">
        <item x="0"/>
        <item x="1"/>
        <item x="2"/>
        <item x="3"/>
        <item x="4"/>
        <item x="5"/>
        <item t="default"/>
      </items>
    </pivotField>
    <pivotField compact="0" outline="0" showAll="0">
      <items count="12">
        <item x="0"/>
        <item x="1"/>
        <item x="2"/>
        <item x="3"/>
        <item x="4"/>
        <item x="5"/>
        <item x="6"/>
        <item x="7"/>
        <item x="8"/>
        <item x="9"/>
        <item x="10"/>
        <item t="default"/>
      </items>
    </pivotField>
  </pivotFields>
  <rowFields count="2">
    <field x="8"/>
    <field x="9"/>
  </rowFields>
  <rowItems count="20">
    <i>
      <x/>
      <x/>
    </i>
    <i r="1">
      <x v="1"/>
    </i>
    <i r="1">
      <x v="2"/>
    </i>
    <i r="1">
      <x v="3"/>
    </i>
    <i r="1">
      <x v="4"/>
    </i>
    <i r="1">
      <x v="5"/>
    </i>
    <i t="default">
      <x/>
    </i>
    <i>
      <x v="1"/>
      <x/>
    </i>
    <i r="1">
      <x v="1"/>
    </i>
    <i r="1">
      <x v="2"/>
    </i>
    <i r="1">
      <x v="3"/>
    </i>
    <i r="1">
      <x v="4"/>
    </i>
    <i r="1">
      <x v="5"/>
    </i>
    <i t="default">
      <x v="1"/>
    </i>
    <i>
      <x v="2"/>
      <x v="1"/>
    </i>
    <i r="1">
      <x v="2"/>
    </i>
    <i r="1">
      <x v="4"/>
    </i>
    <i r="1">
      <x v="5"/>
    </i>
    <i t="default">
      <x v="2"/>
    </i>
    <i t="grand">
      <x/>
    </i>
  </rowItems>
  <colFields count="1">
    <field x="-2"/>
  </colFields>
  <colItems count="2">
    <i>
      <x/>
    </i>
    <i i="1">
      <x v="1"/>
    </i>
  </colItems>
  <dataFields count="2">
    <dataField name="Sum of Perf_Score" fld="7" showDataAs="percentOfTotal" baseField="0" baseItem="0" numFmtId="10"/>
    <dataField name="Sum of Perf_Score2" fld="7" baseField="0" baseItem="0"/>
  </dataFields>
  <formats count="15">
    <format dxfId="77">
      <pivotArea type="all" dataOnly="0" outline="0" fieldPosition="0"/>
    </format>
    <format dxfId="78">
      <pivotArea outline="0" collapsedLevelsAreSubtotals="1" fieldPosition="0"/>
    </format>
    <format dxfId="79">
      <pivotArea field="8" type="button" dataOnly="0" labelOnly="1" outline="0" axis="axisRow" fieldPosition="0"/>
    </format>
    <format dxfId="80">
      <pivotArea dataOnly="0" labelOnly="1" fieldPosition="0">
        <references count="1">
          <reference field="8" count="0"/>
        </references>
      </pivotArea>
    </format>
    <format dxfId="81">
      <pivotArea dataOnly="0" labelOnly="1" grandRow="1" outline="0" fieldPosition="0"/>
    </format>
    <format dxfId="82">
      <pivotArea dataOnly="0" labelOnly="1" fieldPosition="0">
        <references count="2">
          <reference field="8" count="1" selected="0">
            <x v="0"/>
          </reference>
          <reference field="9" count="0"/>
        </references>
      </pivotArea>
    </format>
    <format dxfId="83">
      <pivotArea dataOnly="0" labelOnly="1" fieldPosition="0">
        <references count="2">
          <reference field="8" count="1" selected="0">
            <x v="1"/>
          </reference>
          <reference field="9" count="0"/>
        </references>
      </pivotArea>
    </format>
    <format dxfId="84">
      <pivotArea dataOnly="0" labelOnly="1" fieldPosition="0">
        <references count="2">
          <reference field="8" count="1" selected="0">
            <x v="2"/>
          </reference>
          <reference field="9" count="4">
            <x v="1"/>
            <x v="2"/>
            <x v="4"/>
            <x v="5"/>
          </reference>
        </references>
      </pivotArea>
    </format>
    <format dxfId="85">
      <pivotArea dataOnly="0" labelOnly="1" outline="0" fieldPosition="0">
        <references count="1">
          <reference field="4294967294" count="2">
            <x v="0"/>
            <x v="1"/>
          </reference>
        </references>
      </pivotArea>
    </format>
    <format dxfId="86">
      <pivotArea outline="0" fieldPosition="0">
        <references count="3">
          <reference field="4294967294" count="1" selected="0">
            <x v="0"/>
          </reference>
          <reference field="8" count="1" selected="0">
            <x v="0"/>
          </reference>
          <reference field="9" count="1" selected="0">
            <x v="0"/>
          </reference>
        </references>
      </pivotArea>
    </format>
    <format dxfId="87">
      <pivotArea outline="0" fieldPosition="0">
        <references count="2">
          <reference field="4294967294" count="1" selected="0">
            <x v="0"/>
          </reference>
          <reference field="8" count="1" selected="0" defaultSubtotal="1">
            <x v="0"/>
          </reference>
        </references>
      </pivotArea>
    </format>
    <format dxfId="88">
      <pivotArea outline="0" fieldPosition="0">
        <references count="2">
          <reference field="4294967294" count="1" selected="0">
            <x v="0"/>
          </reference>
          <reference field="8" count="1" selected="0" defaultSubtotal="1">
            <x v="1"/>
          </reference>
        </references>
      </pivotArea>
    </format>
    <format dxfId="89">
      <pivotArea outline="0" fieldPosition="0">
        <references count="2">
          <reference field="4294967294" count="1" selected="0">
            <x v="0"/>
          </reference>
          <reference field="8" count="1" selected="0" defaultSubtotal="1">
            <x v="2"/>
          </reference>
        </references>
      </pivotArea>
    </format>
    <format dxfId="90">
      <pivotArea outline="0" fieldPosition="0">
        <references count="3">
          <reference field="4294967294" count="1" selected="0">
            <x v="0"/>
          </reference>
          <reference field="8" count="1" selected="0">
            <x v="1"/>
          </reference>
          <reference field="9" count="0" selected="0"/>
        </references>
      </pivotArea>
    </format>
    <format dxfId="91">
      <pivotArea outline="0" fieldPosition="0">
        <references count="3">
          <reference field="4294967294" count="1" selected="0">
            <x v="0"/>
          </reference>
          <reference field="8" count="1" selected="0">
            <x v="0"/>
          </reference>
          <reference field="9" count="5" selected="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7782A1-22D9-4CE0-87CF-6420D97E8CD6}" name="PivotTable8"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erformance Band">
  <location ref="F1:G7" firstHeaderRow="1" firstDataRow="1" firstDataCol="1"/>
  <pivotFields count="16">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9" showAll="0"/>
    <pivotField showAll="0"/>
    <pivotField showAll="0"/>
    <pivotField showAll="0"/>
    <pivotField numFmtId="1" showAll="0"/>
    <pivotField axis="axisRow"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dataField="1" numFmtId="167"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1"/>
  </rowFields>
  <rowItems count="6">
    <i>
      <x v="3"/>
    </i>
    <i>
      <x v="4"/>
    </i>
    <i>
      <x v="1"/>
    </i>
    <i>
      <x/>
    </i>
    <i>
      <x v="2"/>
    </i>
    <i t="grand">
      <x/>
    </i>
  </rowItems>
  <colItems count="1">
    <i/>
  </colItems>
  <dataFields count="1">
    <dataField name=" Eligible Bonus Amount" fld="13" baseField="0" baseItem="0" numFmtId="169"/>
  </dataFields>
  <formats count="2">
    <format dxfId="75">
      <pivotArea collapsedLevelsAreSubtotals="1" fieldPosition="0">
        <references count="1">
          <reference field="11" count="0"/>
        </references>
      </pivotArea>
    </format>
    <format dxfId="76">
      <pivotArea outline="0" collapsedLevelsAreSubtotals="1" fieldPosition="0"/>
    </format>
  </format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1" count="1" selected="0">
            <x v="4"/>
          </reference>
        </references>
      </pivotArea>
    </chartFormat>
    <chartFormat chart="5" format="13">
      <pivotArea type="data" outline="0" fieldPosition="0">
        <references count="2">
          <reference field="4294967294" count="1" selected="0">
            <x v="0"/>
          </reference>
          <reference field="11" count="1" selected="0">
            <x v="1"/>
          </reference>
        </references>
      </pivotArea>
    </chartFormat>
    <chartFormat chart="5" format="14">
      <pivotArea type="data" outline="0" fieldPosition="0">
        <references count="2">
          <reference field="4294967294" count="1" selected="0">
            <x v="0"/>
          </reference>
          <reference field="11" count="1" selected="0">
            <x v="0"/>
          </reference>
        </references>
      </pivotArea>
    </chartFormat>
    <chartFormat chart="5" format="1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6B5FF8-C0D7-43D2-9BB9-8B9A1AD0EF3A}" name="PivotTable7" cacheId="52" applyNumberFormats="0" applyBorderFormats="0" applyFontFormats="0" applyPatternFormats="0" applyAlignmentFormats="0" applyWidthHeightFormats="1" dataCaption="Values" grandTotalCaption="Attrittion Rate" updatedVersion="7" minRefreshableVersion="3" useAutoFormatting="1" itemPrintTitles="1" createdVersion="7" indent="0" outline="1" outlineData="1" multipleFieldFilters="0" chartFormat="7" rowHeaderCaption="Department Name">
  <location ref="A10:C18" firstHeaderRow="1" firstDataRow="2" firstDataCol="1"/>
  <pivotFields count="16">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69" showAll="0"/>
    <pivotField showAll="0"/>
    <pivotField axis="axisCol" dataField="1" showAll="0">
      <items count="4">
        <item h="1" x="0"/>
        <item x="1"/>
        <item h="1" x="2"/>
        <item t="default"/>
      </items>
    </pivotField>
    <pivotField axis="axisRow" showAll="0" sortType="descending">
      <items count="7">
        <item x="2"/>
        <item x="5"/>
        <item x="0"/>
        <item x="1"/>
        <item x="3"/>
        <item x="4"/>
        <item t="default"/>
      </items>
      <autoSortScope>
        <pivotArea dataOnly="0" outline="0" fieldPosition="0">
          <references count="2">
            <reference field="4294967294" count="1" selected="0">
              <x v="0"/>
            </reference>
            <reference field="8" count="1" selected="0">
              <x v="1"/>
            </reference>
          </references>
        </pivotArea>
      </autoSortScope>
    </pivotField>
    <pivotField numFmtId="1" showAll="0"/>
    <pivotField showAll="0"/>
    <pivotField showAll="0"/>
    <pivotField numFmtId="167"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7">
    <i>
      <x v="4"/>
    </i>
    <i>
      <x v="2"/>
    </i>
    <i>
      <x v="5"/>
    </i>
    <i>
      <x/>
    </i>
    <i>
      <x v="3"/>
    </i>
    <i>
      <x v="1"/>
    </i>
    <i t="grand">
      <x/>
    </i>
  </rowItems>
  <colFields count="1">
    <field x="8"/>
  </colFields>
  <colItems count="2">
    <i>
      <x v="1"/>
    </i>
    <i t="grand">
      <x/>
    </i>
  </colItems>
  <dataFields count="1">
    <dataField name=" Employment Status" fld="8" subtotal="count" showDataAs="percentOfTotal" baseField="0" baseItem="0" numFmtId="9"/>
  </dataFields>
  <formats count="1">
    <format dxfId="74">
      <pivotArea outline="0" collapsedLevelsAreSubtotals="1" fieldPosition="0"/>
    </format>
  </formats>
  <chartFormats count="7">
    <chartFormat chart="6" format="15" series="1">
      <pivotArea type="data" outline="0" fieldPosition="0">
        <references count="2">
          <reference field="4294967294" count="1" selected="0">
            <x v="0"/>
          </reference>
          <reference field="8" count="1" selected="0">
            <x v="1"/>
          </reference>
        </references>
      </pivotArea>
    </chartFormat>
    <chartFormat chart="6" format="16">
      <pivotArea type="data" outline="0" fieldPosition="0">
        <references count="3">
          <reference field="4294967294" count="1" selected="0">
            <x v="0"/>
          </reference>
          <reference field="8" count="1" selected="0">
            <x v="1"/>
          </reference>
          <reference field="9" count="1" selected="0">
            <x v="4"/>
          </reference>
        </references>
      </pivotArea>
    </chartFormat>
    <chartFormat chart="6" format="17">
      <pivotArea type="data" outline="0" fieldPosition="0">
        <references count="3">
          <reference field="4294967294" count="1" selected="0">
            <x v="0"/>
          </reference>
          <reference field="8" count="1" selected="0">
            <x v="1"/>
          </reference>
          <reference field="9" count="1" selected="0">
            <x v="2"/>
          </reference>
        </references>
      </pivotArea>
    </chartFormat>
    <chartFormat chart="6" format="18">
      <pivotArea type="data" outline="0" fieldPosition="0">
        <references count="3">
          <reference field="4294967294" count="1" selected="0">
            <x v="0"/>
          </reference>
          <reference field="8" count="1" selected="0">
            <x v="1"/>
          </reference>
          <reference field="9" count="1" selected="0">
            <x v="5"/>
          </reference>
        </references>
      </pivotArea>
    </chartFormat>
    <chartFormat chart="6" format="19">
      <pivotArea type="data" outline="0" fieldPosition="0">
        <references count="3">
          <reference field="4294967294" count="1" selected="0">
            <x v="0"/>
          </reference>
          <reference field="8" count="1" selected="0">
            <x v="1"/>
          </reference>
          <reference field="9" count="1" selected="0">
            <x v="0"/>
          </reference>
        </references>
      </pivotArea>
    </chartFormat>
    <chartFormat chart="6" format="20">
      <pivotArea type="data" outline="0" fieldPosition="0">
        <references count="3">
          <reference field="4294967294" count="1" selected="0">
            <x v="0"/>
          </reference>
          <reference field="8" count="1" selected="0">
            <x v="1"/>
          </reference>
          <reference field="9" count="1" selected="0">
            <x v="3"/>
          </reference>
        </references>
      </pivotArea>
    </chartFormat>
    <chartFormat chart="6" format="21">
      <pivotArea type="data" outline="0" fieldPosition="0">
        <references count="3">
          <reference field="4294967294" count="1" selected="0">
            <x v="0"/>
          </reference>
          <reference field="8"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3A2D03-57FC-4D9A-9007-00EA6213D6AD}" name="PivotTable5"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2" firstHeaderRow="0" firstDataRow="1" firstDataCol="0"/>
  <pivotFields count="16">
    <pivotField dataField="1"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dataField="1" numFmtId="169" showAll="0"/>
    <pivotField showAll="0"/>
    <pivotField showAll="0"/>
    <pivotField showAll="0"/>
    <pivotField numFmtId="1" showAll="0"/>
    <pivotField showAll="0"/>
    <pivotField showAll="0"/>
    <pivotField numFmtId="167"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Fields count="1">
    <field x="-2"/>
  </colFields>
  <colItems count="2">
    <i>
      <x/>
    </i>
    <i i="1">
      <x v="1"/>
    </i>
  </colItems>
  <dataFields count="2">
    <dataField name="Total HeadCount " fld="0" subtotal="count" baseField="0" baseItem="0"/>
    <dataField name="Average of Salary" fld="6" subtotal="average" baseField="0" baseItem="1" numFmtId="181"/>
  </dataFields>
  <formats count="1">
    <format dxfId="6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53696F5E-07D4-4E6F-877E-B5F05865AF32}" sourceName="Employment Status">
  <data>
    <tabular pivotCacheId="9180910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F468A488-41DA-4F23-A362-DBFAA4F2AD1A}" sourceName="Department Name">
  <data>
    <tabular pivotCacheId="918091098">
      <items count="6">
        <i x="2" s="1"/>
        <i x="5"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2A986E29-0061-46AE-A4AD-869367C5DFCE}" sourceName="Performance Band">
  <data>
    <tabular pivotCacheId="918091098">
      <items count="5">
        <i x="2" s="1"/>
        <i x="0" s="1"/>
        <i x="3"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EBF738E-2105-40A1-9E7D-D25834604977}" sourceName="Years">
  <pivotTables>
    <pivotTable tabId="7" name="PivotTable9"/>
  </pivotTables>
  <data>
    <tabular pivotCacheId="918091098">
      <items count="11">
        <i x="1" s="1"/>
        <i x="2" s="1"/>
        <i x="3" s="1"/>
        <i x="4" s="1"/>
        <i x="5" s="1"/>
        <i x="6" s="1"/>
        <i x="7" s="1"/>
        <i x="8" s="1"/>
        <i x="9" s="1"/>
        <i x="0"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xr10:uid="{C496347D-37F7-44C2-849C-23AC9C49B8ED}" cache="Slicer_Employment_Status" caption="Employment Status" style="SlicerStyleLight5" rowHeight="180000"/>
  <slicer name="Department Name" xr10:uid="{B14C62B9-632B-44E7-8CA7-EC9C3CFAB1A3}" cache="Slicer_Department_Name" caption="Department Name" columnCount="2" style="SlicerStyleLight5" rowHeight="180000"/>
  <slicer name="Performance Band" xr10:uid="{0CF96355-7120-4C40-84F2-211547D70A67}" cache="Slicer_Performance_Band" caption="Performance Band" columnCount="2" style="SlicerStyleLight5" rowHeight="180000"/>
  <slicer name="Years" xr10:uid="{9C8639A2-52BA-456F-AADF-E9BD3B8A52E7}" cache="Slicer_Years" caption="Years" columnCount="2"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440DBD-E1EC-4641-ABB6-8C7C405DF111}" name="Table1" displayName="Table1" ref="B1:O151" totalsRowShown="0" headerRowDxfId="94">
  <autoFilter ref="B1:O151" xr:uid="{46440DBD-E1EC-4641-ABB6-8C7C405DF111}"/>
  <tableColumns count="14">
    <tableColumn id="1" xr3:uid="{23C1724D-1B6E-4D21-92C7-DC74B528894B}" name="Emp ID"/>
    <tableColumn id="2" xr3:uid="{D13D0746-C7FF-46B9-BD54-E12A8AAA6D0D}" name="First_Name"/>
    <tableColumn id="3" xr3:uid="{2F2FFA05-99F0-4943-B06F-0A8B923761CE}" name="Last_Name"/>
    <tableColumn id="4" xr3:uid="{DF650CAE-4018-436E-A94A-F51F66BB805F}" name="Full Name"/>
    <tableColumn id="5" xr3:uid="{4F86AB4E-8523-453C-9609-E56D3B40036D}" name="Dept Code"/>
    <tableColumn id="6" xr3:uid="{20E1A539-6993-4454-98C0-3A49473014F4}" name="Hire Date" dataDxfId="97"/>
    <tableColumn id="7" xr3:uid="{A7D7967D-3E5E-4DE9-AE15-E1AA26D42316}" name="Salary" dataDxfId="96"/>
    <tableColumn id="8" xr3:uid="{4D13EF17-76FC-4AA4-9121-DECC820F63C5}" name="Perf_Score"/>
    <tableColumn id="9" xr3:uid="{A36899A8-8747-4C30-B770-6A0CF7B8F517}" name="Employment Status"/>
    <tableColumn id="10" xr3:uid="{B432A1BE-FFCC-424F-8801-6C34477246D2}" name="Department Name"/>
    <tableColumn id="11" xr3:uid="{BD363EED-E4E8-41CE-AD39-16BE25B09280}" name="Year of Service" dataDxfId="95"/>
    <tableColumn id="12" xr3:uid="{E39C06CE-724E-4024-A3C5-C9E88BBA6286}" name="Performance Band"/>
    <tableColumn id="13" xr3:uid="{D0997D02-68B1-4B75-8EA1-A115E8D58362}" name="Eligible Bonus %" dataDxfId="93"/>
    <tableColumn id="14" xr3:uid="{9DE1A154-5A07-4422-99DC-1E1593A79F6B}" name="Eligible Bonus Amount" dataDxfId="9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s="1" t="s">
        <v>197</v>
      </c>
      <c r="B1" s="1" t="s">
        <v>198</v>
      </c>
    </row>
    <row r="2" spans="1:2" x14ac:dyDescent="0.25">
      <c r="A2" t="s">
        <v>74</v>
      </c>
      <c r="B2" t="s">
        <v>199</v>
      </c>
    </row>
    <row r="3" spans="1:2" x14ac:dyDescent="0.25">
      <c r="A3" t="s">
        <v>11</v>
      </c>
      <c r="B3" t="s">
        <v>200</v>
      </c>
    </row>
    <row r="4" spans="1:2" x14ac:dyDescent="0.25">
      <c r="A4" t="s">
        <v>21</v>
      </c>
      <c r="B4" t="s">
        <v>201</v>
      </c>
    </row>
    <row r="5" spans="1:2" x14ac:dyDescent="0.25">
      <c r="A5" t="s">
        <v>15</v>
      </c>
      <c r="B5" t="s">
        <v>202</v>
      </c>
    </row>
    <row r="6" spans="1:2" x14ac:dyDescent="0.25">
      <c r="A6" t="s">
        <v>37</v>
      </c>
      <c r="B6" t="s">
        <v>203</v>
      </c>
    </row>
    <row r="7" spans="1:2" x14ac:dyDescent="0.25">
      <c r="A7" t="s">
        <v>28</v>
      </c>
      <c r="B7" t="s">
        <v>204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W158"/>
  <sheetViews>
    <sheetView workbookViewId="0">
      <selection activeCell="E15" sqref="E15"/>
    </sheetView>
  </sheetViews>
  <sheetFormatPr defaultRowHeight="15" x14ac:dyDescent="0.25"/>
  <cols>
    <col min="1" max="1" width="20.42578125" customWidth="1"/>
    <col min="2" max="2" width="9.140625" style="3"/>
    <col min="3" max="3" width="11.7109375" customWidth="1"/>
    <col min="5" max="5" width="13.140625" customWidth="1"/>
    <col min="6" max="6" width="12.85546875" customWidth="1"/>
    <col min="7" max="7" width="20.5703125" style="4" customWidth="1"/>
    <col min="8" max="9" width="11.42578125" style="8" customWidth="1"/>
    <col min="10" max="11" width="13" customWidth="1"/>
    <col min="12" max="16" width="13.42578125" customWidth="1"/>
    <col min="17" max="17" width="13.42578125" style="6" customWidth="1"/>
  </cols>
  <sheetData>
    <row r="1" spans="2:23" x14ac:dyDescent="0.25">
      <c r="B1" s="2" t="s">
        <v>0</v>
      </c>
      <c r="C1" s="1" t="s">
        <v>1</v>
      </c>
      <c r="D1" s="1" t="s">
        <v>2</v>
      </c>
      <c r="E1" s="1" t="s">
        <v>318</v>
      </c>
      <c r="F1" s="1" t="s">
        <v>3</v>
      </c>
      <c r="G1" s="5" t="s">
        <v>4</v>
      </c>
      <c r="H1" s="7" t="s">
        <v>5</v>
      </c>
      <c r="I1" s="7"/>
      <c r="J1" s="1" t="s">
        <v>6</v>
      </c>
      <c r="K1" s="1"/>
      <c r="L1" s="1" t="s">
        <v>7</v>
      </c>
      <c r="M1" s="12" t="s">
        <v>326</v>
      </c>
      <c r="N1" s="12" t="s">
        <v>327</v>
      </c>
      <c r="O1" s="12" t="s">
        <v>328</v>
      </c>
      <c r="P1" s="12" t="s">
        <v>329</v>
      </c>
      <c r="Q1" s="13" t="s">
        <v>330</v>
      </c>
      <c r="T1" t="s">
        <v>320</v>
      </c>
    </row>
    <row r="2" spans="2:23" x14ac:dyDescent="0.25">
      <c r="B2" s="3" t="s">
        <v>8</v>
      </c>
      <c r="C2" t="s">
        <v>9</v>
      </c>
      <c r="D2" t="s">
        <v>10</v>
      </c>
      <c r="E2" t="s">
        <v>214</v>
      </c>
      <c r="F2" t="s">
        <v>11</v>
      </c>
      <c r="G2" s="4">
        <v>43093</v>
      </c>
      <c r="H2" s="8">
        <v>50361</v>
      </c>
      <c r="I2" s="8">
        <f>AVERAGE(H2:H151)</f>
        <v>83603.94</v>
      </c>
      <c r="J2">
        <v>52</v>
      </c>
      <c r="K2" s="11">
        <f>AVERAGE(J2:J151)</f>
        <v>68.073333333333338</v>
      </c>
      <c r="L2" t="s">
        <v>38</v>
      </c>
      <c r="M2" t="str">
        <f>VLOOKUP(F2,Lookup_Departments!A:B,2,0)</f>
        <v>Information Technology</v>
      </c>
      <c r="N2" s="11">
        <f ca="1">ROUND((TODAY()-((G:G)))/365.25,1)</f>
        <v>8.5</v>
      </c>
      <c r="O2" s="11" t="str">
        <f>IF(J2&gt;95,"Outstanding",IF(J2&gt;85,"Exceeding",IF(J2&gt;70,"Achieving",IF(J2&gt;50,"Developing",IF(J2&lt;50,"Needs Improvement","Needs Improvement")))))</f>
        <v>Developing</v>
      </c>
      <c r="P2" s="11" t="str">
        <f>IF(J2&gt;95,"0.12",IF(J2&gt;85,"0.08",IF(J2&gt;70,"0.05",IF(J2&gt;50,"0.02",IF(J2&lt;50,"0","0")))))</f>
        <v>0.02</v>
      </c>
      <c r="Q2" s="6">
        <f>H2*P2</f>
        <v>1007.22</v>
      </c>
      <c r="R2" t="str">
        <f>UPPER(F2)</f>
        <v>IT02</v>
      </c>
      <c r="S2" t="str">
        <f>TRIM(R2)</f>
        <v>IT02</v>
      </c>
      <c r="T2" t="s">
        <v>214</v>
      </c>
      <c r="U2" t="str">
        <f>TRIM(T2)</f>
        <v>Emily Brown</v>
      </c>
      <c r="V2" t="str">
        <f>PROPER(L2)</f>
        <v>Active</v>
      </c>
      <c r="W2" t="str">
        <f>TRIM(V2)</f>
        <v>Active</v>
      </c>
    </row>
    <row r="3" spans="2:23" x14ac:dyDescent="0.25">
      <c r="B3" s="3" t="s">
        <v>12</v>
      </c>
      <c r="C3" t="s">
        <v>13</v>
      </c>
      <c r="D3" t="s">
        <v>14</v>
      </c>
      <c r="E3" t="s">
        <v>215</v>
      </c>
      <c r="F3" t="s">
        <v>15</v>
      </c>
      <c r="G3" s="4">
        <v>44777</v>
      </c>
      <c r="H3" s="8">
        <v>112673</v>
      </c>
      <c r="J3">
        <v>68</v>
      </c>
      <c r="L3" t="s">
        <v>38</v>
      </c>
      <c r="M3" t="str">
        <f>VLOOKUP(F3,Lookup_Departments!A:B,2,0)</f>
        <v>Marketing</v>
      </c>
      <c r="N3" s="11">
        <f t="shared" ref="N3:N66" ca="1" si="0">ROUND((TODAY()-((G:G)))/365.25,1)</f>
        <v>3.9</v>
      </c>
      <c r="O3" s="11" t="str">
        <f t="shared" ref="O3:O66" si="1">IF(J3&gt;95,"Outstanding",IF(J3&gt;85,"Exceeding",IF(J3&gt;70,"Achieving",IF(J3&gt;50,"Developing",IF(J3&lt;50,"Needs Improvement","Needs Improvement")))))</f>
        <v>Developing</v>
      </c>
      <c r="P3" s="11" t="str">
        <f t="shared" ref="P3:P66" si="2">IF(J3&gt;95,"0.12",IF(J3&gt;85,"0.08",IF(J3&gt;70,"0.05",IF(J3&gt;50,"0.02",IF(J3&lt;50,"0","0")))))</f>
        <v>0.02</v>
      </c>
      <c r="Q3" s="6">
        <f t="shared" ref="Q3:Q66" si="3">H3*P3</f>
        <v>2253.46</v>
      </c>
      <c r="R3" t="str">
        <f>UPPER(F3)</f>
        <v>MKT04</v>
      </c>
      <c r="S3" t="str">
        <f t="shared" ref="S3:S66" si="4">TRIM(R3)</f>
        <v>MKT04</v>
      </c>
      <c r="T3" t="s">
        <v>215</v>
      </c>
      <c r="U3" t="str">
        <f t="shared" ref="U3:U66" si="5">TRIM(T3)</f>
        <v>Richard Hernandez</v>
      </c>
      <c r="V3" t="str">
        <f t="shared" ref="V3:V66" si="6">PROPER(L3)</f>
        <v>Active</v>
      </c>
      <c r="W3" t="str">
        <f t="shared" ref="W3:W66" si="7">TRIM(V3)</f>
        <v>Active</v>
      </c>
    </row>
    <row r="4" spans="2:23" hidden="1" x14ac:dyDescent="0.25">
      <c r="B4" s="3" t="s">
        <v>16</v>
      </c>
      <c r="C4" t="s">
        <v>9</v>
      </c>
      <c r="D4" t="s">
        <v>17</v>
      </c>
      <c r="E4" t="s">
        <v>216</v>
      </c>
      <c r="F4" t="s">
        <v>11</v>
      </c>
      <c r="G4" s="4">
        <v>42403</v>
      </c>
      <c r="H4" s="8">
        <v>114425</v>
      </c>
      <c r="J4">
        <v>54</v>
      </c>
      <c r="L4" t="s">
        <v>25</v>
      </c>
      <c r="M4" t="str">
        <f>VLOOKUP(F4,Lookup_Departments!A:B,2,0)</f>
        <v>Information Technology</v>
      </c>
      <c r="N4" s="11">
        <f t="shared" ca="1" si="0"/>
        <v>10.4</v>
      </c>
      <c r="O4" s="11" t="str">
        <f t="shared" si="1"/>
        <v>Developing</v>
      </c>
      <c r="P4" s="11" t="str">
        <f t="shared" si="2"/>
        <v>0.02</v>
      </c>
      <c r="Q4" s="6">
        <f t="shared" si="3"/>
        <v>2288.5</v>
      </c>
      <c r="R4" t="str">
        <f>UPPER(F4)</f>
        <v>IT02</v>
      </c>
      <c r="S4" t="str">
        <f t="shared" si="4"/>
        <v>IT02</v>
      </c>
      <c r="T4" t="s">
        <v>216</v>
      </c>
      <c r="U4" t="str">
        <f t="shared" si="5"/>
        <v>Emily Gonzalez</v>
      </c>
      <c r="V4" t="str">
        <f t="shared" si="6"/>
        <v>Left</v>
      </c>
      <c r="W4" t="str">
        <f t="shared" si="7"/>
        <v>Left</v>
      </c>
    </row>
    <row r="5" spans="2:23" x14ac:dyDescent="0.25">
      <c r="B5" s="3" t="s">
        <v>18</v>
      </c>
      <c r="C5" t="s">
        <v>19</v>
      </c>
      <c r="D5" t="s">
        <v>20</v>
      </c>
      <c r="E5" t="s">
        <v>217</v>
      </c>
      <c r="F5" t="s">
        <v>21</v>
      </c>
      <c r="G5" s="4">
        <v>44992</v>
      </c>
      <c r="H5" s="8">
        <v>103831</v>
      </c>
      <c r="J5">
        <v>70</v>
      </c>
      <c r="L5" t="s">
        <v>38</v>
      </c>
      <c r="M5" t="str">
        <f>VLOOKUP(F5,Lookup_Departments!A:B,2,0)</f>
        <v>Finance</v>
      </c>
      <c r="N5" s="11">
        <f t="shared" ca="1" si="0"/>
        <v>3.3</v>
      </c>
      <c r="O5" s="11" t="str">
        <f t="shared" si="1"/>
        <v>Developing</v>
      </c>
      <c r="P5" s="11" t="str">
        <f>IF(J5&gt;95,"0.12",IF(J5&gt;85,"0.08",IF(J5&gt;70,"0.05",IF(J5&gt;50,"0.02",IF(J5&lt;50,"0","0")))))</f>
        <v>0.02</v>
      </c>
      <c r="Q5" s="6">
        <f t="shared" si="3"/>
        <v>2076.62</v>
      </c>
      <c r="R5" t="str">
        <f>UPPER(F5)</f>
        <v>FIN03</v>
      </c>
      <c r="S5" t="str">
        <f t="shared" si="4"/>
        <v>FIN03</v>
      </c>
      <c r="T5" t="s">
        <v>217</v>
      </c>
      <c r="U5" t="str">
        <f t="shared" si="5"/>
        <v>John Martinez</v>
      </c>
      <c r="V5" t="str">
        <f t="shared" si="6"/>
        <v>Active</v>
      </c>
      <c r="W5" t="str">
        <f t="shared" si="7"/>
        <v>Active</v>
      </c>
    </row>
    <row r="6" spans="2:23" hidden="1" x14ac:dyDescent="0.25">
      <c r="B6" s="3" t="s">
        <v>22</v>
      </c>
      <c r="C6" t="s">
        <v>23</v>
      </c>
      <c r="D6" t="s">
        <v>24</v>
      </c>
      <c r="E6" t="s">
        <v>218</v>
      </c>
      <c r="F6" t="s">
        <v>11</v>
      </c>
      <c r="G6" s="4">
        <v>44977</v>
      </c>
      <c r="H6" s="8">
        <v>73785</v>
      </c>
      <c r="J6">
        <v>40</v>
      </c>
      <c r="L6" t="s">
        <v>25</v>
      </c>
      <c r="M6" t="str">
        <f>VLOOKUP(F6,Lookup_Departments!A:B,2,0)</f>
        <v>Information Technology</v>
      </c>
      <c r="N6" s="11">
        <f t="shared" ca="1" si="0"/>
        <v>3.4</v>
      </c>
      <c r="O6" s="11" t="str">
        <f t="shared" si="1"/>
        <v>Needs Improvement</v>
      </c>
      <c r="P6" s="11" t="str">
        <f t="shared" si="2"/>
        <v>0</v>
      </c>
      <c r="Q6" s="6">
        <f t="shared" si="3"/>
        <v>0</v>
      </c>
      <c r="R6" t="str">
        <f>UPPER(F6)</f>
        <v>IT02</v>
      </c>
      <c r="S6" t="str">
        <f t="shared" si="4"/>
        <v>IT02</v>
      </c>
      <c r="T6" t="s">
        <v>218</v>
      </c>
      <c r="U6" t="str">
        <f t="shared" si="5"/>
        <v>Thomas Smith</v>
      </c>
      <c r="V6" t="str">
        <f t="shared" si="6"/>
        <v>Left</v>
      </c>
      <c r="W6" t="str">
        <f t="shared" si="7"/>
        <v>Left</v>
      </c>
    </row>
    <row r="7" spans="2:23" x14ac:dyDescent="0.25">
      <c r="B7" s="3" t="s">
        <v>26</v>
      </c>
      <c r="C7" t="s">
        <v>9</v>
      </c>
      <c r="D7" t="s">
        <v>27</v>
      </c>
      <c r="E7" t="s">
        <v>219</v>
      </c>
      <c r="F7" t="s">
        <v>28</v>
      </c>
      <c r="G7" s="4">
        <v>43864</v>
      </c>
      <c r="H7" s="8">
        <v>115882</v>
      </c>
      <c r="J7">
        <v>49</v>
      </c>
      <c r="L7" t="s">
        <v>38</v>
      </c>
      <c r="M7" t="str">
        <f>VLOOKUP(F7,Lookup_Departments!A:B,2,0)</f>
        <v>Operations</v>
      </c>
      <c r="N7" s="11">
        <f t="shared" ca="1" si="0"/>
        <v>6.4</v>
      </c>
      <c r="O7" s="11" t="str">
        <f t="shared" si="1"/>
        <v>Needs Improvement</v>
      </c>
      <c r="P7" s="11" t="str">
        <f t="shared" si="2"/>
        <v>0</v>
      </c>
      <c r="Q7" s="6">
        <f t="shared" si="3"/>
        <v>0</v>
      </c>
      <c r="R7" t="str">
        <f>UPPER(F7)</f>
        <v>OPS06</v>
      </c>
      <c r="S7" t="str">
        <f t="shared" si="4"/>
        <v>OPS06</v>
      </c>
      <c r="T7" t="s">
        <v>219</v>
      </c>
      <c r="U7" t="str">
        <f t="shared" si="5"/>
        <v>Emily Johnson</v>
      </c>
      <c r="V7" t="str">
        <f t="shared" si="6"/>
        <v>Active</v>
      </c>
      <c r="W7" t="str">
        <f t="shared" si="7"/>
        <v>Active</v>
      </c>
    </row>
    <row r="8" spans="2:23" hidden="1" x14ac:dyDescent="0.25">
      <c r="B8" s="3" t="s">
        <v>29</v>
      </c>
      <c r="C8" t="s">
        <v>19</v>
      </c>
      <c r="D8" t="s">
        <v>30</v>
      </c>
      <c r="E8" t="s">
        <v>220</v>
      </c>
      <c r="F8" t="s">
        <v>28</v>
      </c>
      <c r="G8" s="4">
        <v>45272</v>
      </c>
      <c r="H8" s="8">
        <v>59980</v>
      </c>
      <c r="J8">
        <v>70</v>
      </c>
      <c r="L8" t="s">
        <v>25</v>
      </c>
      <c r="M8" t="str">
        <f>VLOOKUP(F8,Lookup_Departments!A:B,2,0)</f>
        <v>Operations</v>
      </c>
      <c r="N8" s="11">
        <f t="shared" ca="1" si="0"/>
        <v>2.6</v>
      </c>
      <c r="O8" s="11" t="str">
        <f t="shared" si="1"/>
        <v>Developing</v>
      </c>
      <c r="P8" s="11" t="str">
        <f t="shared" si="2"/>
        <v>0.02</v>
      </c>
      <c r="Q8" s="6">
        <f t="shared" si="3"/>
        <v>1199.6000000000001</v>
      </c>
      <c r="R8" t="str">
        <f>UPPER(F8)</f>
        <v>OPS06</v>
      </c>
      <c r="S8" t="str">
        <f t="shared" si="4"/>
        <v>OPS06</v>
      </c>
      <c r="T8" t="s">
        <v>220</v>
      </c>
      <c r="U8" t="str">
        <f t="shared" si="5"/>
        <v>John Wilson</v>
      </c>
      <c r="V8" t="str">
        <f t="shared" si="6"/>
        <v>Left</v>
      </c>
      <c r="W8" t="str">
        <f t="shared" si="7"/>
        <v>Left</v>
      </c>
    </row>
    <row r="9" spans="2:23" x14ac:dyDescent="0.25">
      <c r="B9" s="3" t="s">
        <v>31</v>
      </c>
      <c r="C9" t="s">
        <v>32</v>
      </c>
      <c r="D9" t="s">
        <v>24</v>
      </c>
      <c r="E9" t="s">
        <v>221</v>
      </c>
      <c r="F9" t="s">
        <v>28</v>
      </c>
      <c r="G9" s="4">
        <v>44086</v>
      </c>
      <c r="H9" s="8">
        <v>68728</v>
      </c>
      <c r="J9">
        <v>45</v>
      </c>
      <c r="L9" t="s">
        <v>38</v>
      </c>
      <c r="M9" t="str">
        <f>VLOOKUP(F9,Lookup_Departments!A:B,2,0)</f>
        <v>Operations</v>
      </c>
      <c r="N9" s="11">
        <f t="shared" ca="1" si="0"/>
        <v>5.8</v>
      </c>
      <c r="O9" s="11" t="str">
        <f t="shared" si="1"/>
        <v>Needs Improvement</v>
      </c>
      <c r="P9" s="11" t="str">
        <f t="shared" si="2"/>
        <v>0</v>
      </c>
      <c r="Q9" s="6">
        <f t="shared" si="3"/>
        <v>0</v>
      </c>
      <c r="R9" t="str">
        <f>UPPER(F9)</f>
        <v>OPS06</v>
      </c>
      <c r="S9" t="str">
        <f t="shared" si="4"/>
        <v>OPS06</v>
      </c>
      <c r="T9" t="s">
        <v>221</v>
      </c>
      <c r="U9" t="str">
        <f t="shared" si="5"/>
        <v>Jessica Smith</v>
      </c>
      <c r="V9" t="str">
        <f t="shared" si="6"/>
        <v>Active</v>
      </c>
      <c r="W9" t="str">
        <f t="shared" si="7"/>
        <v>Active</v>
      </c>
    </row>
    <row r="10" spans="2:23" x14ac:dyDescent="0.25">
      <c r="B10" s="3" t="s">
        <v>33</v>
      </c>
      <c r="C10" t="s">
        <v>34</v>
      </c>
      <c r="D10" t="s">
        <v>34</v>
      </c>
      <c r="E10" t="s">
        <v>319</v>
      </c>
      <c r="F10" t="s">
        <v>21</v>
      </c>
      <c r="G10" s="4">
        <v>43282</v>
      </c>
      <c r="H10" s="8">
        <v>102139</v>
      </c>
      <c r="J10">
        <v>79</v>
      </c>
      <c r="L10" t="s">
        <v>38</v>
      </c>
      <c r="M10" t="str">
        <f>VLOOKUP(F10,Lookup_Departments!A:B,2,0)</f>
        <v>Finance</v>
      </c>
      <c r="N10" s="11">
        <f t="shared" ca="1" si="0"/>
        <v>8</v>
      </c>
      <c r="O10" s="11" t="str">
        <f t="shared" si="1"/>
        <v>Achieving</v>
      </c>
      <c r="P10" s="11" t="str">
        <f t="shared" si="2"/>
        <v>0.05</v>
      </c>
      <c r="Q10" s="6">
        <f t="shared" si="3"/>
        <v>5106.9500000000007</v>
      </c>
      <c r="R10" t="str">
        <f>UPPER(F10)</f>
        <v>FIN03</v>
      </c>
      <c r="S10" t="str">
        <f t="shared" si="4"/>
        <v>FIN03</v>
      </c>
      <c r="T10" t="s">
        <v>319</v>
      </c>
      <c r="U10" t="str">
        <f t="shared" si="5"/>
        <v>Rodriguez Rodriguez</v>
      </c>
      <c r="V10" t="str">
        <f t="shared" si="6"/>
        <v>Active</v>
      </c>
      <c r="W10" t="str">
        <f t="shared" si="7"/>
        <v>Active</v>
      </c>
    </row>
    <row r="11" spans="2:23" x14ac:dyDescent="0.25">
      <c r="B11" s="3" t="s">
        <v>35</v>
      </c>
      <c r="C11" t="s">
        <v>36</v>
      </c>
      <c r="D11" t="s">
        <v>20</v>
      </c>
      <c r="E11" t="s">
        <v>222</v>
      </c>
      <c r="F11" t="s">
        <v>37</v>
      </c>
      <c r="G11" s="4">
        <v>42411</v>
      </c>
      <c r="H11" s="8">
        <v>94998</v>
      </c>
      <c r="J11">
        <v>58</v>
      </c>
      <c r="L11" t="s">
        <v>38</v>
      </c>
      <c r="M11" t="str">
        <f>VLOOKUP(F11,Lookup_Departments!A:B,2,0)</f>
        <v>Sales</v>
      </c>
      <c r="N11" s="11">
        <f t="shared" ca="1" si="0"/>
        <v>10.4</v>
      </c>
      <c r="O11" s="11" t="str">
        <f t="shared" si="1"/>
        <v>Developing</v>
      </c>
      <c r="P11" s="11" t="str">
        <f t="shared" si="2"/>
        <v>0.02</v>
      </c>
      <c r="Q11" s="6">
        <f t="shared" si="3"/>
        <v>1899.96</v>
      </c>
      <c r="R11" t="str">
        <f>UPPER(F11)</f>
        <v>SAL05</v>
      </c>
      <c r="S11" t="str">
        <f t="shared" si="4"/>
        <v>SAL05</v>
      </c>
      <c r="T11" t="s">
        <v>222</v>
      </c>
      <c r="U11" t="str">
        <f t="shared" si="5"/>
        <v>Michael Martinez</v>
      </c>
      <c r="V11" t="str">
        <f t="shared" si="6"/>
        <v>Active</v>
      </c>
      <c r="W11" t="str">
        <f t="shared" si="7"/>
        <v>Active</v>
      </c>
    </row>
    <row r="12" spans="2:23" x14ac:dyDescent="0.25">
      <c r="B12" s="3" t="s">
        <v>39</v>
      </c>
      <c r="C12" t="s">
        <v>9</v>
      </c>
      <c r="D12" t="s">
        <v>40</v>
      </c>
      <c r="E12" t="s">
        <v>223</v>
      </c>
      <c r="F12" t="s">
        <v>37</v>
      </c>
      <c r="G12" s="4">
        <v>43911</v>
      </c>
      <c r="H12" s="8">
        <v>118635</v>
      </c>
      <c r="J12">
        <v>49</v>
      </c>
      <c r="L12" t="s">
        <v>38</v>
      </c>
      <c r="M12" t="str">
        <f>VLOOKUP(F12,Lookup_Departments!A:B,2,0)</f>
        <v>Sales</v>
      </c>
      <c r="N12" s="11">
        <f t="shared" ca="1" si="0"/>
        <v>6.3</v>
      </c>
      <c r="O12" s="11" t="str">
        <f t="shared" si="1"/>
        <v>Needs Improvement</v>
      </c>
      <c r="P12" s="11" t="str">
        <f t="shared" si="2"/>
        <v>0</v>
      </c>
      <c r="Q12" s="6">
        <f t="shared" si="3"/>
        <v>0</v>
      </c>
      <c r="R12" t="str">
        <f>UPPER(F12)</f>
        <v>SAL05</v>
      </c>
      <c r="S12" t="str">
        <f t="shared" si="4"/>
        <v>SAL05</v>
      </c>
      <c r="T12" t="s">
        <v>223</v>
      </c>
      <c r="U12" t="str">
        <f t="shared" si="5"/>
        <v>Emily Miller</v>
      </c>
      <c r="V12" t="str">
        <f t="shared" si="6"/>
        <v>Active</v>
      </c>
      <c r="W12" t="str">
        <f t="shared" si="7"/>
        <v>Active</v>
      </c>
    </row>
    <row r="13" spans="2:23" x14ac:dyDescent="0.25">
      <c r="B13" s="3" t="s">
        <v>41</v>
      </c>
      <c r="C13" t="s">
        <v>9</v>
      </c>
      <c r="D13" t="s">
        <v>14</v>
      </c>
      <c r="E13" t="s">
        <v>224</v>
      </c>
      <c r="F13" t="s">
        <v>11</v>
      </c>
      <c r="G13" s="4">
        <v>42425</v>
      </c>
      <c r="H13" s="8">
        <v>76918</v>
      </c>
      <c r="J13">
        <v>62</v>
      </c>
      <c r="L13" t="s">
        <v>38</v>
      </c>
      <c r="M13" t="str">
        <f>VLOOKUP(F13,Lookup_Departments!A:B,2,0)</f>
        <v>Information Technology</v>
      </c>
      <c r="N13" s="11">
        <f t="shared" ca="1" si="0"/>
        <v>10.4</v>
      </c>
      <c r="O13" s="11" t="str">
        <f t="shared" si="1"/>
        <v>Developing</v>
      </c>
      <c r="P13" s="11" t="str">
        <f t="shared" si="2"/>
        <v>0.02</v>
      </c>
      <c r="Q13" s="6">
        <f t="shared" si="3"/>
        <v>1538.3600000000001</v>
      </c>
      <c r="R13" t="str">
        <f>UPPER(F13)</f>
        <v>IT02</v>
      </c>
      <c r="S13" t="str">
        <f t="shared" si="4"/>
        <v>IT02</v>
      </c>
      <c r="T13" t="s">
        <v>224</v>
      </c>
      <c r="U13" t="str">
        <f t="shared" si="5"/>
        <v>Emily Hernandez</v>
      </c>
      <c r="V13" t="str">
        <f t="shared" si="6"/>
        <v>Active</v>
      </c>
      <c r="W13" t="str">
        <f t="shared" si="7"/>
        <v>Active</v>
      </c>
    </row>
    <row r="14" spans="2:23" x14ac:dyDescent="0.25">
      <c r="B14" s="3" t="s">
        <v>42</v>
      </c>
      <c r="C14" t="s">
        <v>43</v>
      </c>
      <c r="D14" t="s">
        <v>44</v>
      </c>
      <c r="E14" t="s">
        <v>225</v>
      </c>
      <c r="F14" t="s">
        <v>15</v>
      </c>
      <c r="G14" s="4">
        <v>44364</v>
      </c>
      <c r="H14" s="8">
        <v>61408</v>
      </c>
      <c r="J14">
        <v>48</v>
      </c>
      <c r="L14" t="s">
        <v>38</v>
      </c>
      <c r="M14" t="str">
        <f>VLOOKUP(F14,Lookup_Departments!A:B,2,0)</f>
        <v>Marketing</v>
      </c>
      <c r="N14" s="11">
        <f t="shared" ca="1" si="0"/>
        <v>5.0999999999999996</v>
      </c>
      <c r="O14" s="11" t="str">
        <f t="shared" si="1"/>
        <v>Needs Improvement</v>
      </c>
      <c r="P14" s="11" t="str">
        <f t="shared" si="2"/>
        <v>0</v>
      </c>
      <c r="Q14" s="6">
        <f t="shared" si="3"/>
        <v>0</v>
      </c>
      <c r="R14" t="str">
        <f>UPPER(F14)</f>
        <v>MKT04</v>
      </c>
      <c r="S14" t="str">
        <f t="shared" si="4"/>
        <v>MKT04</v>
      </c>
      <c r="T14" t="s">
        <v>225</v>
      </c>
      <c r="U14" t="str">
        <f t="shared" si="5"/>
        <v>Jane Williams</v>
      </c>
      <c r="V14" t="str">
        <f t="shared" si="6"/>
        <v>Active</v>
      </c>
      <c r="W14" t="str">
        <f t="shared" si="7"/>
        <v>Active</v>
      </c>
    </row>
    <row r="15" spans="2:23" x14ac:dyDescent="0.25">
      <c r="B15" s="3" t="s">
        <v>45</v>
      </c>
      <c r="C15" t="s">
        <v>43</v>
      </c>
      <c r="D15" t="s">
        <v>40</v>
      </c>
      <c r="E15" t="s">
        <v>226</v>
      </c>
      <c r="F15" t="s">
        <v>15</v>
      </c>
      <c r="G15" s="4">
        <v>44001</v>
      </c>
      <c r="H15" s="8">
        <v>99990</v>
      </c>
      <c r="J15">
        <v>54</v>
      </c>
      <c r="L15" t="s">
        <v>38</v>
      </c>
      <c r="M15" t="str">
        <f>VLOOKUP(F15,Lookup_Departments!A:B,2,0)</f>
        <v>Marketing</v>
      </c>
      <c r="N15" s="11">
        <f t="shared" ca="1" si="0"/>
        <v>6.1</v>
      </c>
      <c r="O15" s="11" t="str">
        <f t="shared" si="1"/>
        <v>Developing</v>
      </c>
      <c r="P15" s="11" t="str">
        <f t="shared" si="2"/>
        <v>0.02</v>
      </c>
      <c r="Q15" s="6">
        <f t="shared" si="3"/>
        <v>1999.8</v>
      </c>
      <c r="R15" t="str">
        <f>UPPER(F15)</f>
        <v>MKT04</v>
      </c>
      <c r="S15" t="str">
        <f t="shared" si="4"/>
        <v>MKT04</v>
      </c>
      <c r="T15" t="s">
        <v>226</v>
      </c>
      <c r="U15" t="str">
        <f t="shared" si="5"/>
        <v>Jane Miller</v>
      </c>
      <c r="V15" t="str">
        <f t="shared" si="6"/>
        <v>Active</v>
      </c>
      <c r="W15" t="str">
        <f t="shared" si="7"/>
        <v>Active</v>
      </c>
    </row>
    <row r="16" spans="2:23" x14ac:dyDescent="0.25">
      <c r="B16" s="3" t="s">
        <v>46</v>
      </c>
      <c r="C16" t="s">
        <v>47</v>
      </c>
      <c r="D16" t="s">
        <v>48</v>
      </c>
      <c r="E16" t="s">
        <v>227</v>
      </c>
      <c r="F16" t="s">
        <v>15</v>
      </c>
      <c r="G16" s="4">
        <v>43820</v>
      </c>
      <c r="H16" s="8">
        <v>80385</v>
      </c>
      <c r="J16">
        <v>68</v>
      </c>
      <c r="L16" t="s">
        <v>38</v>
      </c>
      <c r="M16" t="str">
        <f>VLOOKUP(F16,Lookup_Departments!A:B,2,0)</f>
        <v>Marketing</v>
      </c>
      <c r="N16" s="11">
        <f t="shared" ca="1" si="0"/>
        <v>6.5</v>
      </c>
      <c r="O16" s="11" t="str">
        <f t="shared" si="1"/>
        <v>Developing</v>
      </c>
      <c r="P16" s="11" t="str">
        <f t="shared" si="2"/>
        <v>0.02</v>
      </c>
      <c r="Q16" s="6">
        <f t="shared" si="3"/>
        <v>1607.7</v>
      </c>
      <c r="R16" t="str">
        <f>UPPER(F16)</f>
        <v>MKT04</v>
      </c>
      <c r="S16" t="str">
        <f t="shared" si="4"/>
        <v>MKT04</v>
      </c>
      <c r="T16" t="s">
        <v>227</v>
      </c>
      <c r="U16" t="str">
        <f t="shared" si="5"/>
        <v>Robert Jones</v>
      </c>
      <c r="V16" t="str">
        <f t="shared" si="6"/>
        <v>Active</v>
      </c>
      <c r="W16" t="str">
        <f t="shared" si="7"/>
        <v>Active</v>
      </c>
    </row>
    <row r="17" spans="2:23" x14ac:dyDescent="0.25">
      <c r="B17" s="3" t="s">
        <v>49</v>
      </c>
      <c r="C17" t="s">
        <v>23</v>
      </c>
      <c r="D17" t="s">
        <v>34</v>
      </c>
      <c r="E17" t="s">
        <v>228</v>
      </c>
      <c r="F17" t="s">
        <v>37</v>
      </c>
      <c r="G17" s="4">
        <v>45169</v>
      </c>
      <c r="H17" s="8">
        <v>65290</v>
      </c>
      <c r="J17">
        <v>77</v>
      </c>
      <c r="L17" t="s">
        <v>38</v>
      </c>
      <c r="M17" t="str">
        <f>VLOOKUP(F17,Lookup_Departments!A:B,2,0)</f>
        <v>Sales</v>
      </c>
      <c r="N17" s="11">
        <f t="shared" ca="1" si="0"/>
        <v>2.9</v>
      </c>
      <c r="O17" s="11" t="str">
        <f t="shared" si="1"/>
        <v>Achieving</v>
      </c>
      <c r="P17" s="11" t="str">
        <f t="shared" si="2"/>
        <v>0.05</v>
      </c>
      <c r="Q17" s="6">
        <f t="shared" si="3"/>
        <v>3264.5</v>
      </c>
      <c r="R17" t="str">
        <f>UPPER(F17)</f>
        <v>SAL05</v>
      </c>
      <c r="S17" t="str">
        <f t="shared" si="4"/>
        <v>SAL05</v>
      </c>
      <c r="T17" t="s">
        <v>228</v>
      </c>
      <c r="U17" t="str">
        <f t="shared" si="5"/>
        <v>Thomas Rodriguez</v>
      </c>
      <c r="V17" t="str">
        <f t="shared" si="6"/>
        <v>Active</v>
      </c>
      <c r="W17" t="str">
        <f t="shared" si="7"/>
        <v>Active</v>
      </c>
    </row>
    <row r="18" spans="2:23" x14ac:dyDescent="0.25">
      <c r="B18" s="3" t="s">
        <v>50</v>
      </c>
      <c r="C18" t="s">
        <v>9</v>
      </c>
      <c r="D18" t="s">
        <v>51</v>
      </c>
      <c r="E18" t="s">
        <v>229</v>
      </c>
      <c r="F18" t="s">
        <v>11</v>
      </c>
      <c r="G18" s="4">
        <v>42337</v>
      </c>
      <c r="H18" s="8">
        <v>105765</v>
      </c>
      <c r="J18">
        <v>42</v>
      </c>
      <c r="L18" t="s">
        <v>38</v>
      </c>
      <c r="M18" t="str">
        <f>VLOOKUP(F18,Lookup_Departments!A:B,2,0)</f>
        <v>Information Technology</v>
      </c>
      <c r="N18" s="11">
        <f t="shared" ca="1" si="0"/>
        <v>10.6</v>
      </c>
      <c r="O18" s="11" t="str">
        <f t="shared" si="1"/>
        <v>Needs Improvement</v>
      </c>
      <c r="P18" s="11" t="str">
        <f t="shared" si="2"/>
        <v>0</v>
      </c>
      <c r="Q18" s="6">
        <f t="shared" si="3"/>
        <v>0</v>
      </c>
      <c r="R18" t="str">
        <f>UPPER(F18)</f>
        <v>IT02</v>
      </c>
      <c r="S18" t="str">
        <f t="shared" si="4"/>
        <v>IT02</v>
      </c>
      <c r="T18" t="s">
        <v>229</v>
      </c>
      <c r="U18" t="str">
        <f t="shared" si="5"/>
        <v>Emily Davis</v>
      </c>
      <c r="V18" t="str">
        <f t="shared" si="6"/>
        <v>Active</v>
      </c>
      <c r="W18" t="str">
        <f t="shared" si="7"/>
        <v>Active</v>
      </c>
    </row>
    <row r="19" spans="2:23" x14ac:dyDescent="0.25">
      <c r="B19" s="3" t="s">
        <v>52</v>
      </c>
      <c r="C19" t="s">
        <v>53</v>
      </c>
      <c r="D19" t="s">
        <v>20</v>
      </c>
      <c r="E19" t="s">
        <v>230</v>
      </c>
      <c r="F19" t="s">
        <v>37</v>
      </c>
      <c r="G19" s="4">
        <v>42899</v>
      </c>
      <c r="H19" s="8">
        <v>102921</v>
      </c>
      <c r="J19">
        <v>49</v>
      </c>
      <c r="L19" t="s">
        <v>38</v>
      </c>
      <c r="M19" t="str">
        <f>VLOOKUP(F19,Lookup_Departments!A:B,2,0)</f>
        <v>Sales</v>
      </c>
      <c r="N19" s="11">
        <f t="shared" ca="1" si="0"/>
        <v>9.1</v>
      </c>
      <c r="O19" s="11" t="str">
        <f t="shared" si="1"/>
        <v>Needs Improvement</v>
      </c>
      <c r="P19" s="11" t="str">
        <f t="shared" si="2"/>
        <v>0</v>
      </c>
      <c r="Q19" s="6">
        <f t="shared" si="3"/>
        <v>0</v>
      </c>
      <c r="R19" t="str">
        <f>UPPER(F19)</f>
        <v>SAL05</v>
      </c>
      <c r="S19" t="str">
        <f t="shared" si="4"/>
        <v>SAL05</v>
      </c>
      <c r="T19" t="s">
        <v>230</v>
      </c>
      <c r="U19" t="str">
        <f t="shared" si="5"/>
        <v>James Martinez</v>
      </c>
      <c r="V19" t="str">
        <f t="shared" si="6"/>
        <v>Active</v>
      </c>
      <c r="W19" t="str">
        <f t="shared" si="7"/>
        <v>Active</v>
      </c>
    </row>
    <row r="20" spans="2:23" x14ac:dyDescent="0.25">
      <c r="B20" s="3" t="s">
        <v>54</v>
      </c>
      <c r="C20" t="s">
        <v>55</v>
      </c>
      <c r="D20" t="s">
        <v>56</v>
      </c>
      <c r="E20" t="s">
        <v>231</v>
      </c>
      <c r="F20" t="s">
        <v>15</v>
      </c>
      <c r="G20" s="4">
        <v>43235</v>
      </c>
      <c r="H20" s="8">
        <v>73984</v>
      </c>
      <c r="J20">
        <v>93</v>
      </c>
      <c r="L20" t="s">
        <v>38</v>
      </c>
      <c r="M20" t="str">
        <f>VLOOKUP(F20,Lookup_Departments!A:B,2,0)</f>
        <v>Marketing</v>
      </c>
      <c r="N20" s="11">
        <f t="shared" ca="1" si="0"/>
        <v>8.1</v>
      </c>
      <c r="O20" s="11" t="str">
        <f t="shared" si="1"/>
        <v>Exceeding</v>
      </c>
      <c r="P20" s="11" t="str">
        <f t="shared" si="2"/>
        <v>0.08</v>
      </c>
      <c r="Q20" s="6">
        <f t="shared" si="3"/>
        <v>5918.72</v>
      </c>
      <c r="R20" t="str">
        <f>UPPER(F20)</f>
        <v>MKT04</v>
      </c>
      <c r="S20" t="str">
        <f t="shared" si="4"/>
        <v>MKT04</v>
      </c>
      <c r="T20" t="s">
        <v>231</v>
      </c>
      <c r="U20" t="str">
        <f t="shared" si="5"/>
        <v>Ashley Lopez</v>
      </c>
      <c r="V20" t="str">
        <f t="shared" si="6"/>
        <v>Active</v>
      </c>
      <c r="W20" t="str">
        <f t="shared" si="7"/>
        <v>Active</v>
      </c>
    </row>
    <row r="21" spans="2:23" x14ac:dyDescent="0.25">
      <c r="B21" s="3" t="s">
        <v>57</v>
      </c>
      <c r="C21" t="s">
        <v>58</v>
      </c>
      <c r="D21" t="s">
        <v>17</v>
      </c>
      <c r="E21" t="s">
        <v>232</v>
      </c>
      <c r="F21" t="s">
        <v>11</v>
      </c>
      <c r="G21" s="4">
        <v>42575</v>
      </c>
      <c r="H21" s="8">
        <v>83604</v>
      </c>
      <c r="J21">
        <v>75</v>
      </c>
      <c r="L21" t="s">
        <v>38</v>
      </c>
      <c r="M21" t="str">
        <f>VLOOKUP(F21,Lookup_Departments!A:B,2,0)</f>
        <v>Information Technology</v>
      </c>
      <c r="N21" s="11">
        <f t="shared" ca="1" si="0"/>
        <v>10</v>
      </c>
      <c r="O21" s="11" t="str">
        <f t="shared" si="1"/>
        <v>Achieving</v>
      </c>
      <c r="P21" s="11" t="str">
        <f t="shared" si="2"/>
        <v>0.05</v>
      </c>
      <c r="Q21" s="6">
        <f t="shared" si="3"/>
        <v>4180.2</v>
      </c>
      <c r="R21" t="str">
        <f>UPPER(F21)</f>
        <v>IT02</v>
      </c>
      <c r="S21" t="str">
        <f t="shared" si="4"/>
        <v>IT02</v>
      </c>
      <c r="T21" t="s">
        <v>232</v>
      </c>
      <c r="U21" t="str">
        <f t="shared" si="5"/>
        <v>Amanda Gonzalez</v>
      </c>
      <c r="V21" t="str">
        <f t="shared" si="6"/>
        <v>Active</v>
      </c>
      <c r="W21" t="str">
        <f t="shared" si="7"/>
        <v>Active</v>
      </c>
    </row>
    <row r="22" spans="2:23" x14ac:dyDescent="0.25">
      <c r="B22" s="3" t="s">
        <v>59</v>
      </c>
      <c r="C22" t="s">
        <v>36</v>
      </c>
      <c r="D22" t="s">
        <v>14</v>
      </c>
      <c r="E22" t="s">
        <v>233</v>
      </c>
      <c r="F22" t="s">
        <v>21</v>
      </c>
      <c r="G22" s="4">
        <v>42928</v>
      </c>
      <c r="H22" s="8">
        <v>118527</v>
      </c>
      <c r="J22">
        <v>50</v>
      </c>
      <c r="L22" t="s">
        <v>38</v>
      </c>
      <c r="M22" t="str">
        <f>VLOOKUP(F22,Lookup_Departments!A:B,2,0)</f>
        <v>Finance</v>
      </c>
      <c r="N22" s="11">
        <f t="shared" ca="1" si="0"/>
        <v>9</v>
      </c>
      <c r="O22" s="11" t="str">
        <f t="shared" si="1"/>
        <v>Needs Improvement</v>
      </c>
      <c r="P22" s="11" t="str">
        <f t="shared" si="2"/>
        <v>0</v>
      </c>
      <c r="Q22" s="6">
        <f t="shared" si="3"/>
        <v>0</v>
      </c>
      <c r="R22" t="str">
        <f>UPPER(F22)</f>
        <v>FIN03</v>
      </c>
      <c r="S22" t="str">
        <f t="shared" si="4"/>
        <v>FIN03</v>
      </c>
      <c r="T22" t="s">
        <v>233</v>
      </c>
      <c r="U22" t="str">
        <f t="shared" si="5"/>
        <v>Michael Hernandez</v>
      </c>
      <c r="V22" t="str">
        <f t="shared" si="6"/>
        <v>Active</v>
      </c>
      <c r="W22" t="str">
        <f t="shared" si="7"/>
        <v>Active</v>
      </c>
    </row>
    <row r="23" spans="2:23" x14ac:dyDescent="0.25">
      <c r="B23" s="3" t="s">
        <v>60</v>
      </c>
      <c r="C23" t="s">
        <v>13</v>
      </c>
      <c r="D23" t="s">
        <v>14</v>
      </c>
      <c r="E23" t="s">
        <v>215</v>
      </c>
      <c r="F23" t="s">
        <v>15</v>
      </c>
      <c r="G23" s="4">
        <v>44353</v>
      </c>
      <c r="H23" s="8">
        <v>107871</v>
      </c>
      <c r="J23">
        <v>88</v>
      </c>
      <c r="L23" t="s">
        <v>38</v>
      </c>
      <c r="M23" t="str">
        <f>VLOOKUP(F23,Lookup_Departments!A:B,2,0)</f>
        <v>Marketing</v>
      </c>
      <c r="N23" s="11">
        <f t="shared" ca="1" si="0"/>
        <v>5.0999999999999996</v>
      </c>
      <c r="O23" s="11" t="str">
        <f t="shared" si="1"/>
        <v>Exceeding</v>
      </c>
      <c r="P23" s="11" t="str">
        <f t="shared" si="2"/>
        <v>0.08</v>
      </c>
      <c r="Q23" s="6">
        <f t="shared" si="3"/>
        <v>8629.68</v>
      </c>
      <c r="R23" t="str">
        <f>UPPER(F23)</f>
        <v>MKT04</v>
      </c>
      <c r="S23" t="str">
        <f t="shared" si="4"/>
        <v>MKT04</v>
      </c>
      <c r="T23" t="s">
        <v>215</v>
      </c>
      <c r="U23" t="str">
        <f t="shared" si="5"/>
        <v>Richard Hernandez</v>
      </c>
      <c r="V23" t="str">
        <f t="shared" si="6"/>
        <v>Active</v>
      </c>
      <c r="W23" t="str">
        <f t="shared" si="7"/>
        <v>Active</v>
      </c>
    </row>
    <row r="24" spans="2:23" hidden="1" x14ac:dyDescent="0.25">
      <c r="B24" s="3" t="s">
        <v>61</v>
      </c>
      <c r="C24" t="s">
        <v>36</v>
      </c>
      <c r="D24" t="s">
        <v>34</v>
      </c>
      <c r="E24" t="s">
        <v>234</v>
      </c>
      <c r="F24" t="s">
        <v>11</v>
      </c>
      <c r="G24" s="4">
        <v>44874</v>
      </c>
      <c r="H24" s="8">
        <v>93956</v>
      </c>
      <c r="J24">
        <v>50</v>
      </c>
      <c r="L24" t="s">
        <v>25</v>
      </c>
      <c r="M24" t="str">
        <f>VLOOKUP(F24,Lookup_Departments!A:B,2,0)</f>
        <v>Information Technology</v>
      </c>
      <c r="N24" s="11">
        <f t="shared" ca="1" si="0"/>
        <v>3.7</v>
      </c>
      <c r="O24" s="11" t="str">
        <f t="shared" si="1"/>
        <v>Needs Improvement</v>
      </c>
      <c r="P24" s="11" t="str">
        <f t="shared" si="2"/>
        <v>0</v>
      </c>
      <c r="Q24" s="6">
        <f t="shared" si="3"/>
        <v>0</v>
      </c>
      <c r="R24" t="str">
        <f>UPPER(F24)</f>
        <v>IT02</v>
      </c>
      <c r="S24" t="str">
        <f t="shared" si="4"/>
        <v>IT02</v>
      </c>
      <c r="T24" t="s">
        <v>234</v>
      </c>
      <c r="U24" t="str">
        <f t="shared" si="5"/>
        <v>Michael Rodriguez</v>
      </c>
      <c r="V24" t="str">
        <f t="shared" si="6"/>
        <v>Left</v>
      </c>
      <c r="W24" t="str">
        <f t="shared" si="7"/>
        <v>Left</v>
      </c>
    </row>
    <row r="25" spans="2:23" x14ac:dyDescent="0.25">
      <c r="B25" s="3" t="s">
        <v>62</v>
      </c>
      <c r="C25" t="s">
        <v>32</v>
      </c>
      <c r="D25" t="s">
        <v>27</v>
      </c>
      <c r="E25" t="s">
        <v>235</v>
      </c>
      <c r="F25" t="s">
        <v>21</v>
      </c>
      <c r="G25" s="4">
        <v>42565</v>
      </c>
      <c r="H25" s="8">
        <v>100851</v>
      </c>
      <c r="J25">
        <v>64</v>
      </c>
      <c r="L25" t="s">
        <v>38</v>
      </c>
      <c r="M25" t="str">
        <f>VLOOKUP(F25,Lookup_Departments!A:B,2,0)</f>
        <v>Finance</v>
      </c>
      <c r="N25" s="11">
        <f t="shared" ca="1" si="0"/>
        <v>10</v>
      </c>
      <c r="O25" s="11" t="str">
        <f t="shared" si="1"/>
        <v>Developing</v>
      </c>
      <c r="P25" s="11" t="str">
        <f t="shared" si="2"/>
        <v>0.02</v>
      </c>
      <c r="Q25" s="6">
        <f t="shared" si="3"/>
        <v>2017.02</v>
      </c>
      <c r="R25" t="str">
        <f>UPPER(F25)</f>
        <v>FIN03</v>
      </c>
      <c r="S25" t="str">
        <f t="shared" si="4"/>
        <v>FIN03</v>
      </c>
      <c r="T25" t="s">
        <v>235</v>
      </c>
      <c r="U25" t="str">
        <f t="shared" si="5"/>
        <v>Jessica Johnson</v>
      </c>
      <c r="V25" t="str">
        <f t="shared" si="6"/>
        <v>Active</v>
      </c>
      <c r="W25" t="str">
        <f t="shared" si="7"/>
        <v>Active</v>
      </c>
    </row>
    <row r="26" spans="2:23" x14ac:dyDescent="0.25">
      <c r="B26" s="3" t="s">
        <v>63</v>
      </c>
      <c r="C26" t="s">
        <v>55</v>
      </c>
      <c r="D26" t="s">
        <v>44</v>
      </c>
      <c r="E26" t="s">
        <v>236</v>
      </c>
      <c r="F26" t="s">
        <v>37</v>
      </c>
      <c r="G26" s="4">
        <v>44728</v>
      </c>
      <c r="H26" s="8">
        <v>68655</v>
      </c>
      <c r="J26">
        <v>32</v>
      </c>
      <c r="L26" t="s">
        <v>38</v>
      </c>
      <c r="M26" t="str">
        <f>VLOOKUP(F26,Lookup_Departments!A:B,2,0)</f>
        <v>Sales</v>
      </c>
      <c r="N26" s="11">
        <f t="shared" ca="1" si="0"/>
        <v>4.0999999999999996</v>
      </c>
      <c r="O26" s="11" t="str">
        <f t="shared" si="1"/>
        <v>Needs Improvement</v>
      </c>
      <c r="P26" s="11" t="str">
        <f t="shared" si="2"/>
        <v>0</v>
      </c>
      <c r="Q26" s="6">
        <f t="shared" si="3"/>
        <v>0</v>
      </c>
      <c r="R26" t="str">
        <f>UPPER(F26)</f>
        <v>SAL05</v>
      </c>
      <c r="S26" t="str">
        <f t="shared" si="4"/>
        <v>SAL05</v>
      </c>
      <c r="T26" t="s">
        <v>236</v>
      </c>
      <c r="U26" t="str">
        <f t="shared" si="5"/>
        <v>Ashley Williams</v>
      </c>
      <c r="V26" t="str">
        <f t="shared" si="6"/>
        <v>Active</v>
      </c>
      <c r="W26" t="str">
        <f t="shared" si="7"/>
        <v>Active</v>
      </c>
    </row>
    <row r="27" spans="2:23" x14ac:dyDescent="0.25">
      <c r="B27" s="3" t="s">
        <v>64</v>
      </c>
      <c r="C27" t="s">
        <v>44</v>
      </c>
      <c r="D27" t="s">
        <v>44</v>
      </c>
      <c r="E27" t="s">
        <v>321</v>
      </c>
      <c r="F27" t="s">
        <v>37</v>
      </c>
      <c r="G27" s="4">
        <v>45134</v>
      </c>
      <c r="H27" s="8">
        <v>81205</v>
      </c>
      <c r="J27">
        <v>59</v>
      </c>
      <c r="L27" t="s">
        <v>38</v>
      </c>
      <c r="M27" t="str">
        <f>VLOOKUP(F27,Lookup_Departments!A:B,2,0)</f>
        <v>Sales</v>
      </c>
      <c r="N27" s="11">
        <f t="shared" ca="1" si="0"/>
        <v>2.9</v>
      </c>
      <c r="O27" s="11" t="str">
        <f t="shared" si="1"/>
        <v>Developing</v>
      </c>
      <c r="P27" s="11" t="str">
        <f t="shared" si="2"/>
        <v>0.02</v>
      </c>
      <c r="Q27" s="6">
        <f t="shared" si="3"/>
        <v>1624.1000000000001</v>
      </c>
      <c r="R27" t="str">
        <f>UPPER(F27)</f>
        <v>SAL05</v>
      </c>
      <c r="S27" t="str">
        <f t="shared" si="4"/>
        <v>SAL05</v>
      </c>
      <c r="T27" t="s">
        <v>321</v>
      </c>
      <c r="U27" t="str">
        <f t="shared" si="5"/>
        <v>Williams Williams</v>
      </c>
      <c r="V27" t="str">
        <f t="shared" si="6"/>
        <v>Active</v>
      </c>
      <c r="W27" t="str">
        <f t="shared" si="7"/>
        <v>Active</v>
      </c>
    </row>
    <row r="28" spans="2:23" x14ac:dyDescent="0.25">
      <c r="B28" s="3" t="s">
        <v>65</v>
      </c>
      <c r="C28" t="s">
        <v>19</v>
      </c>
      <c r="D28" t="s">
        <v>30</v>
      </c>
      <c r="E28" t="s">
        <v>220</v>
      </c>
      <c r="F28" t="s">
        <v>37</v>
      </c>
      <c r="G28" s="4">
        <v>43732</v>
      </c>
      <c r="H28" s="8">
        <v>77610</v>
      </c>
      <c r="J28">
        <v>88</v>
      </c>
      <c r="L28" t="s">
        <v>38</v>
      </c>
      <c r="M28" t="str">
        <f>VLOOKUP(F28,Lookup_Departments!A:B,2,0)</f>
        <v>Sales</v>
      </c>
      <c r="N28" s="11">
        <f t="shared" ca="1" si="0"/>
        <v>6.8</v>
      </c>
      <c r="O28" s="11" t="str">
        <f t="shared" si="1"/>
        <v>Exceeding</v>
      </c>
      <c r="P28" s="11" t="str">
        <f t="shared" si="2"/>
        <v>0.08</v>
      </c>
      <c r="Q28" s="6">
        <f t="shared" si="3"/>
        <v>6208.8</v>
      </c>
      <c r="R28" t="str">
        <f>UPPER(F28)</f>
        <v>SAL05</v>
      </c>
      <c r="S28" t="str">
        <f t="shared" si="4"/>
        <v>SAL05</v>
      </c>
      <c r="T28" t="s">
        <v>220</v>
      </c>
      <c r="U28" t="str">
        <f t="shared" si="5"/>
        <v>John Wilson</v>
      </c>
      <c r="V28" t="str">
        <f t="shared" si="6"/>
        <v>Active</v>
      </c>
      <c r="W28" t="str">
        <f t="shared" si="7"/>
        <v>Active</v>
      </c>
    </row>
    <row r="29" spans="2:23" x14ac:dyDescent="0.25">
      <c r="B29" s="3" t="s">
        <v>66</v>
      </c>
      <c r="C29" t="s">
        <v>23</v>
      </c>
      <c r="D29" t="s">
        <v>34</v>
      </c>
      <c r="E29" t="s">
        <v>228</v>
      </c>
      <c r="F29" t="s">
        <v>11</v>
      </c>
      <c r="G29" s="4">
        <v>44765</v>
      </c>
      <c r="H29" s="8">
        <v>50873</v>
      </c>
      <c r="J29">
        <v>90</v>
      </c>
      <c r="L29" t="s">
        <v>38</v>
      </c>
      <c r="M29" t="str">
        <f>VLOOKUP(F29,Lookup_Departments!A:B,2,0)</f>
        <v>Information Technology</v>
      </c>
      <c r="N29" s="11">
        <f t="shared" ca="1" si="0"/>
        <v>4</v>
      </c>
      <c r="O29" s="11" t="str">
        <f t="shared" si="1"/>
        <v>Exceeding</v>
      </c>
      <c r="P29" s="11" t="str">
        <f t="shared" si="2"/>
        <v>0.08</v>
      </c>
      <c r="Q29" s="6">
        <f t="shared" si="3"/>
        <v>4069.84</v>
      </c>
      <c r="R29" t="str">
        <f>UPPER(F29)</f>
        <v>IT02</v>
      </c>
      <c r="S29" t="str">
        <f t="shared" si="4"/>
        <v>IT02</v>
      </c>
      <c r="T29" t="s">
        <v>228</v>
      </c>
      <c r="U29" t="str">
        <f t="shared" si="5"/>
        <v>Thomas Rodriguez</v>
      </c>
      <c r="V29" t="str">
        <f t="shared" si="6"/>
        <v>Active</v>
      </c>
      <c r="W29" t="str">
        <f t="shared" si="7"/>
        <v>Active</v>
      </c>
    </row>
    <row r="30" spans="2:23" x14ac:dyDescent="0.25">
      <c r="B30" s="3" t="s">
        <v>67</v>
      </c>
      <c r="C30" t="s">
        <v>36</v>
      </c>
      <c r="D30" t="s">
        <v>30</v>
      </c>
      <c r="E30" t="s">
        <v>237</v>
      </c>
      <c r="F30" t="s">
        <v>21</v>
      </c>
      <c r="G30" s="4">
        <v>43233</v>
      </c>
      <c r="H30" s="8">
        <v>85312</v>
      </c>
      <c r="J30">
        <v>66</v>
      </c>
      <c r="L30" t="s">
        <v>38</v>
      </c>
      <c r="M30" t="str">
        <f>VLOOKUP(F30,Lookup_Departments!A:B,2,0)</f>
        <v>Finance</v>
      </c>
      <c r="N30" s="11">
        <f t="shared" ca="1" si="0"/>
        <v>8.1999999999999993</v>
      </c>
      <c r="O30" s="11" t="str">
        <f t="shared" si="1"/>
        <v>Developing</v>
      </c>
      <c r="P30" s="11" t="str">
        <f t="shared" si="2"/>
        <v>0.02</v>
      </c>
      <c r="Q30" s="6">
        <f t="shared" si="3"/>
        <v>1706.24</v>
      </c>
      <c r="R30" t="str">
        <f>UPPER(F30)</f>
        <v>FIN03</v>
      </c>
      <c r="S30" t="str">
        <f t="shared" si="4"/>
        <v>FIN03</v>
      </c>
      <c r="T30" t="s">
        <v>237</v>
      </c>
      <c r="U30" t="str">
        <f t="shared" si="5"/>
        <v>Michael Wilson</v>
      </c>
      <c r="V30" t="str">
        <f t="shared" si="6"/>
        <v>Active</v>
      </c>
      <c r="W30" t="str">
        <f t="shared" si="7"/>
        <v>Active</v>
      </c>
    </row>
    <row r="31" spans="2:23" x14ac:dyDescent="0.25">
      <c r="B31" s="3" t="s">
        <v>68</v>
      </c>
      <c r="C31" t="s">
        <v>19</v>
      </c>
      <c r="D31" t="s">
        <v>34</v>
      </c>
      <c r="E31" t="s">
        <v>238</v>
      </c>
      <c r="F31" t="s">
        <v>37</v>
      </c>
      <c r="G31" s="4">
        <v>42202</v>
      </c>
      <c r="H31" s="8">
        <v>83604</v>
      </c>
      <c r="J31">
        <v>68</v>
      </c>
      <c r="L31" t="s">
        <v>38</v>
      </c>
      <c r="M31" t="str">
        <f>VLOOKUP(F31,Lookup_Departments!A:B,2,0)</f>
        <v>Sales</v>
      </c>
      <c r="N31" s="11">
        <f t="shared" ca="1" si="0"/>
        <v>11</v>
      </c>
      <c r="O31" s="11" t="str">
        <f t="shared" si="1"/>
        <v>Developing</v>
      </c>
      <c r="P31" s="11" t="str">
        <f t="shared" si="2"/>
        <v>0.02</v>
      </c>
      <c r="Q31" s="6">
        <f t="shared" si="3"/>
        <v>1672.08</v>
      </c>
      <c r="R31" t="str">
        <f>UPPER(F31)</f>
        <v>SAL05</v>
      </c>
      <c r="S31" t="str">
        <f t="shared" si="4"/>
        <v>SAL05</v>
      </c>
      <c r="T31" t="s">
        <v>238</v>
      </c>
      <c r="U31" t="str">
        <f t="shared" si="5"/>
        <v>John Rodriguez</v>
      </c>
      <c r="V31" t="str">
        <f t="shared" si="6"/>
        <v>Active</v>
      </c>
      <c r="W31" t="str">
        <f t="shared" si="7"/>
        <v>Active</v>
      </c>
    </row>
    <row r="32" spans="2:23" x14ac:dyDescent="0.25">
      <c r="B32" s="3" t="s">
        <v>69</v>
      </c>
      <c r="C32" t="s">
        <v>23</v>
      </c>
      <c r="D32" t="s">
        <v>14</v>
      </c>
      <c r="E32" t="s">
        <v>239</v>
      </c>
      <c r="F32" t="s">
        <v>28</v>
      </c>
      <c r="G32" s="4">
        <v>42132</v>
      </c>
      <c r="H32" s="8">
        <v>97055</v>
      </c>
      <c r="J32">
        <v>80</v>
      </c>
      <c r="L32" t="s">
        <v>38</v>
      </c>
      <c r="M32" t="str">
        <f>VLOOKUP(F32,Lookup_Departments!A:B,2,0)</f>
        <v>Operations</v>
      </c>
      <c r="N32" s="11">
        <f t="shared" ca="1" si="0"/>
        <v>11.2</v>
      </c>
      <c r="O32" s="11" t="str">
        <f t="shared" si="1"/>
        <v>Achieving</v>
      </c>
      <c r="P32" s="11" t="str">
        <f t="shared" si="2"/>
        <v>0.05</v>
      </c>
      <c r="Q32" s="6">
        <f t="shared" si="3"/>
        <v>4852.75</v>
      </c>
      <c r="R32" t="str">
        <f>UPPER(F32)</f>
        <v>OPS06</v>
      </c>
      <c r="S32" t="str">
        <f t="shared" si="4"/>
        <v>OPS06</v>
      </c>
      <c r="T32" t="s">
        <v>239</v>
      </c>
      <c r="U32" t="str">
        <f t="shared" si="5"/>
        <v>Thomas Hernandez</v>
      </c>
      <c r="V32" t="str">
        <f t="shared" si="6"/>
        <v>Active</v>
      </c>
      <c r="W32" t="str">
        <f t="shared" si="7"/>
        <v>Active</v>
      </c>
    </row>
    <row r="33" spans="2:23" x14ac:dyDescent="0.25">
      <c r="B33" s="3" t="s">
        <v>70</v>
      </c>
      <c r="C33" t="s">
        <v>36</v>
      </c>
      <c r="D33" t="s">
        <v>27</v>
      </c>
      <c r="E33" t="s">
        <v>240</v>
      </c>
      <c r="F33" t="s">
        <v>11</v>
      </c>
      <c r="G33" s="4">
        <v>45195</v>
      </c>
      <c r="H33" s="8">
        <v>66069</v>
      </c>
      <c r="J33">
        <v>72</v>
      </c>
      <c r="L33" t="s">
        <v>38</v>
      </c>
      <c r="M33" t="str">
        <f>VLOOKUP(F33,Lookup_Departments!A:B,2,0)</f>
        <v>Information Technology</v>
      </c>
      <c r="N33" s="11">
        <f t="shared" ca="1" si="0"/>
        <v>2.8</v>
      </c>
      <c r="O33" s="11" t="str">
        <f t="shared" si="1"/>
        <v>Achieving</v>
      </c>
      <c r="P33" s="11" t="str">
        <f t="shared" si="2"/>
        <v>0.05</v>
      </c>
      <c r="Q33" s="6">
        <f t="shared" si="3"/>
        <v>3303.4500000000003</v>
      </c>
      <c r="R33" t="str">
        <f>UPPER(F33)</f>
        <v>IT02</v>
      </c>
      <c r="S33" t="str">
        <f t="shared" si="4"/>
        <v>IT02</v>
      </c>
      <c r="T33" t="s">
        <v>240</v>
      </c>
      <c r="U33" t="str">
        <f t="shared" si="5"/>
        <v>Michael Johnson</v>
      </c>
      <c r="V33" t="str">
        <f t="shared" si="6"/>
        <v>Active</v>
      </c>
      <c r="W33" t="str">
        <f t="shared" si="7"/>
        <v>Active</v>
      </c>
    </row>
    <row r="34" spans="2:23" x14ac:dyDescent="0.25">
      <c r="B34" s="3" t="s">
        <v>71</v>
      </c>
      <c r="C34" t="s">
        <v>72</v>
      </c>
      <c r="D34" t="s">
        <v>10</v>
      </c>
      <c r="E34" t="s">
        <v>241</v>
      </c>
      <c r="F34" t="s">
        <v>11</v>
      </c>
      <c r="G34" s="4">
        <v>43744</v>
      </c>
      <c r="H34" s="8">
        <v>90157</v>
      </c>
      <c r="J34">
        <v>58</v>
      </c>
      <c r="L34" t="s">
        <v>38</v>
      </c>
      <c r="M34" t="str">
        <f>VLOOKUP(F34,Lookup_Departments!A:B,2,0)</f>
        <v>Information Technology</v>
      </c>
      <c r="N34" s="11">
        <f t="shared" ca="1" si="0"/>
        <v>6.8</v>
      </c>
      <c r="O34" s="11" t="str">
        <f t="shared" si="1"/>
        <v>Developing</v>
      </c>
      <c r="P34" s="11" t="str">
        <f t="shared" si="2"/>
        <v>0.02</v>
      </c>
      <c r="Q34" s="6">
        <f t="shared" si="3"/>
        <v>1803.14</v>
      </c>
      <c r="R34" t="str">
        <f>UPPER(F34)</f>
        <v>IT02</v>
      </c>
      <c r="S34" t="str">
        <f t="shared" si="4"/>
        <v>IT02</v>
      </c>
      <c r="T34" t="s">
        <v>241</v>
      </c>
      <c r="U34" t="str">
        <f t="shared" si="5"/>
        <v>Sarah Brown</v>
      </c>
      <c r="V34" t="str">
        <f t="shared" si="6"/>
        <v>Active</v>
      </c>
      <c r="W34" t="str">
        <f t="shared" si="7"/>
        <v>Active</v>
      </c>
    </row>
    <row r="35" spans="2:23" x14ac:dyDescent="0.25">
      <c r="B35" s="3" t="s">
        <v>73</v>
      </c>
      <c r="C35" t="s">
        <v>43</v>
      </c>
      <c r="D35" t="s">
        <v>20</v>
      </c>
      <c r="E35" t="s">
        <v>242</v>
      </c>
      <c r="F35" t="s">
        <v>74</v>
      </c>
      <c r="G35" s="4">
        <v>44578</v>
      </c>
      <c r="H35" s="8">
        <v>59899</v>
      </c>
      <c r="J35">
        <v>78</v>
      </c>
      <c r="L35" t="s">
        <v>38</v>
      </c>
      <c r="M35" t="str">
        <f>VLOOKUP(F35,Lookup_Departments!A:B,2,0)</f>
        <v>Human Resources</v>
      </c>
      <c r="N35" s="11">
        <f t="shared" ca="1" si="0"/>
        <v>4.5</v>
      </c>
      <c r="O35" s="11" t="str">
        <f t="shared" si="1"/>
        <v>Achieving</v>
      </c>
      <c r="P35" s="11" t="str">
        <f t="shared" si="2"/>
        <v>0.05</v>
      </c>
      <c r="Q35" s="6">
        <f t="shared" si="3"/>
        <v>2994.9500000000003</v>
      </c>
      <c r="R35" t="str">
        <f>UPPER(F35)</f>
        <v>HR01</v>
      </c>
      <c r="S35" t="str">
        <f t="shared" si="4"/>
        <v>HR01</v>
      </c>
      <c r="T35" t="s">
        <v>242</v>
      </c>
      <c r="U35" t="str">
        <f t="shared" si="5"/>
        <v>Jane Martinez</v>
      </c>
      <c r="V35" t="str">
        <f t="shared" si="6"/>
        <v>Active</v>
      </c>
      <c r="W35" t="str">
        <f t="shared" si="7"/>
        <v>Active</v>
      </c>
    </row>
    <row r="36" spans="2:23" x14ac:dyDescent="0.25">
      <c r="B36" s="3" t="s">
        <v>75</v>
      </c>
      <c r="C36" t="s">
        <v>9</v>
      </c>
      <c r="D36" t="s">
        <v>48</v>
      </c>
      <c r="E36" t="s">
        <v>243</v>
      </c>
      <c r="F36" t="s">
        <v>21</v>
      </c>
      <c r="G36" s="4">
        <v>42801</v>
      </c>
      <c r="H36" s="8">
        <v>113389</v>
      </c>
      <c r="J36">
        <v>30</v>
      </c>
      <c r="L36" t="s">
        <v>38</v>
      </c>
      <c r="M36" t="str">
        <f>VLOOKUP(F36,Lookup_Departments!A:B,2,0)</f>
        <v>Finance</v>
      </c>
      <c r="N36" s="11">
        <f t="shared" ca="1" si="0"/>
        <v>9.3000000000000007</v>
      </c>
      <c r="O36" s="11" t="str">
        <f t="shared" si="1"/>
        <v>Needs Improvement</v>
      </c>
      <c r="P36" s="11" t="str">
        <f t="shared" si="2"/>
        <v>0</v>
      </c>
      <c r="Q36" s="6">
        <f t="shared" si="3"/>
        <v>0</v>
      </c>
      <c r="R36" t="str">
        <f>UPPER(F36)</f>
        <v>FIN03</v>
      </c>
      <c r="S36" t="str">
        <f t="shared" si="4"/>
        <v>FIN03</v>
      </c>
      <c r="T36" t="s">
        <v>243</v>
      </c>
      <c r="U36" t="str">
        <f t="shared" si="5"/>
        <v>Emily Jones</v>
      </c>
      <c r="V36" t="str">
        <f t="shared" si="6"/>
        <v>Active</v>
      </c>
      <c r="W36" t="str">
        <f t="shared" si="7"/>
        <v>Active</v>
      </c>
    </row>
    <row r="37" spans="2:23" x14ac:dyDescent="0.25">
      <c r="B37" s="3" t="s">
        <v>76</v>
      </c>
      <c r="C37" t="s">
        <v>10</v>
      </c>
      <c r="D37" t="s">
        <v>10</v>
      </c>
      <c r="E37" t="s">
        <v>322</v>
      </c>
      <c r="F37" t="s">
        <v>11</v>
      </c>
      <c r="G37" s="4">
        <v>42013</v>
      </c>
      <c r="H37" s="8">
        <v>102691</v>
      </c>
      <c r="J37">
        <v>52</v>
      </c>
      <c r="L37" t="s">
        <v>38</v>
      </c>
      <c r="M37" t="str">
        <f>VLOOKUP(F37,Lookup_Departments!A:B,2,0)</f>
        <v>Information Technology</v>
      </c>
      <c r="N37" s="11">
        <f t="shared" ca="1" si="0"/>
        <v>11.5</v>
      </c>
      <c r="O37" s="11" t="str">
        <f t="shared" si="1"/>
        <v>Developing</v>
      </c>
      <c r="P37" s="11" t="str">
        <f t="shared" si="2"/>
        <v>0.02</v>
      </c>
      <c r="Q37" s="6">
        <f t="shared" si="3"/>
        <v>2053.8200000000002</v>
      </c>
      <c r="R37" t="str">
        <f>UPPER(F37)</f>
        <v>IT02</v>
      </c>
      <c r="S37" t="str">
        <f t="shared" si="4"/>
        <v>IT02</v>
      </c>
      <c r="T37" t="s">
        <v>322</v>
      </c>
      <c r="U37" t="str">
        <f t="shared" si="5"/>
        <v>Brown Brown</v>
      </c>
      <c r="V37" t="str">
        <f t="shared" si="6"/>
        <v>Active</v>
      </c>
      <c r="W37" t="str">
        <f t="shared" si="7"/>
        <v>Active</v>
      </c>
    </row>
    <row r="38" spans="2:23" x14ac:dyDescent="0.25">
      <c r="B38" s="3" t="s">
        <v>77</v>
      </c>
      <c r="C38" t="s">
        <v>19</v>
      </c>
      <c r="D38" t="s">
        <v>30</v>
      </c>
      <c r="E38" t="s">
        <v>220</v>
      </c>
      <c r="F38" t="s">
        <v>28</v>
      </c>
      <c r="G38" s="4">
        <v>44628</v>
      </c>
      <c r="H38" s="8">
        <v>111845</v>
      </c>
      <c r="J38">
        <v>98</v>
      </c>
      <c r="L38" t="s">
        <v>38</v>
      </c>
      <c r="M38" t="str">
        <f>VLOOKUP(F38,Lookup_Departments!A:B,2,0)</f>
        <v>Operations</v>
      </c>
      <c r="N38" s="11">
        <f t="shared" ca="1" si="0"/>
        <v>4.3</v>
      </c>
      <c r="O38" s="11" t="str">
        <f t="shared" si="1"/>
        <v>Outstanding</v>
      </c>
      <c r="P38" s="11" t="str">
        <f t="shared" si="2"/>
        <v>0.12</v>
      </c>
      <c r="Q38" s="6">
        <f t="shared" si="3"/>
        <v>13421.4</v>
      </c>
      <c r="R38" t="str">
        <f>UPPER(F38)</f>
        <v>OPS06</v>
      </c>
      <c r="S38" t="str">
        <f t="shared" si="4"/>
        <v>OPS06</v>
      </c>
      <c r="T38" t="s">
        <v>220</v>
      </c>
      <c r="U38" t="str">
        <f t="shared" si="5"/>
        <v>John Wilson</v>
      </c>
      <c r="V38" t="str">
        <f t="shared" si="6"/>
        <v>Active</v>
      </c>
      <c r="W38" t="str">
        <f t="shared" si="7"/>
        <v>Active</v>
      </c>
    </row>
    <row r="39" spans="2:23" x14ac:dyDescent="0.25">
      <c r="B39" s="3" t="s">
        <v>78</v>
      </c>
      <c r="C39" t="s">
        <v>79</v>
      </c>
      <c r="D39" t="s">
        <v>10</v>
      </c>
      <c r="E39" t="s">
        <v>244</v>
      </c>
      <c r="F39" t="s">
        <v>37</v>
      </c>
      <c r="G39" s="4">
        <v>44741</v>
      </c>
      <c r="H39" s="8">
        <v>69219</v>
      </c>
      <c r="J39">
        <v>93</v>
      </c>
      <c r="L39" t="s">
        <v>38</v>
      </c>
      <c r="M39" t="str">
        <f>VLOOKUP(F39,Lookup_Departments!A:B,2,0)</f>
        <v>Sales</v>
      </c>
      <c r="N39" s="11">
        <f t="shared" ca="1" si="0"/>
        <v>4</v>
      </c>
      <c r="O39" s="11" t="str">
        <f t="shared" si="1"/>
        <v>Exceeding</v>
      </c>
      <c r="P39" s="11" t="str">
        <f t="shared" si="2"/>
        <v>0.08</v>
      </c>
      <c r="Q39" s="6">
        <f t="shared" si="3"/>
        <v>5537.52</v>
      </c>
      <c r="R39" t="str">
        <f>UPPER(F39)</f>
        <v>SAL05</v>
      </c>
      <c r="S39" t="str">
        <f t="shared" si="4"/>
        <v>SAL05</v>
      </c>
      <c r="T39" t="s">
        <v>244</v>
      </c>
      <c r="U39" t="str">
        <f t="shared" si="5"/>
        <v>Melissa Brown</v>
      </c>
      <c r="V39" t="str">
        <f t="shared" si="6"/>
        <v>Active</v>
      </c>
      <c r="W39" t="str">
        <f t="shared" si="7"/>
        <v>Active</v>
      </c>
    </row>
    <row r="40" spans="2:23" hidden="1" x14ac:dyDescent="0.25">
      <c r="B40" s="3" t="s">
        <v>80</v>
      </c>
      <c r="C40" t="s">
        <v>36</v>
      </c>
      <c r="D40" t="s">
        <v>24</v>
      </c>
      <c r="E40" t="s">
        <v>245</v>
      </c>
      <c r="F40" t="s">
        <v>21</v>
      </c>
      <c r="G40" s="4">
        <v>43949</v>
      </c>
      <c r="H40" s="8">
        <v>83604</v>
      </c>
      <c r="J40">
        <v>80</v>
      </c>
      <c r="L40" t="s">
        <v>25</v>
      </c>
      <c r="M40" t="str">
        <f>VLOOKUP(F40,Lookup_Departments!A:B,2,0)</f>
        <v>Finance</v>
      </c>
      <c r="N40" s="11">
        <f t="shared" ca="1" si="0"/>
        <v>6.2</v>
      </c>
      <c r="O40" s="11" t="str">
        <f t="shared" si="1"/>
        <v>Achieving</v>
      </c>
      <c r="P40" s="11" t="str">
        <f t="shared" si="2"/>
        <v>0.05</v>
      </c>
      <c r="Q40" s="6">
        <f t="shared" si="3"/>
        <v>4180.2</v>
      </c>
      <c r="R40" t="str">
        <f>UPPER(F40)</f>
        <v>FIN03</v>
      </c>
      <c r="S40" t="str">
        <f t="shared" si="4"/>
        <v>FIN03</v>
      </c>
      <c r="T40" t="s">
        <v>245</v>
      </c>
      <c r="U40" t="str">
        <f t="shared" si="5"/>
        <v>Michael Smith</v>
      </c>
      <c r="V40" t="str">
        <f t="shared" si="6"/>
        <v>Left</v>
      </c>
      <c r="W40" t="str">
        <f t="shared" si="7"/>
        <v>Left</v>
      </c>
    </row>
    <row r="41" spans="2:23" x14ac:dyDescent="0.25">
      <c r="B41" s="3" t="s">
        <v>81</v>
      </c>
      <c r="C41" t="s">
        <v>72</v>
      </c>
      <c r="D41" t="s">
        <v>40</v>
      </c>
      <c r="E41" t="s">
        <v>246</v>
      </c>
      <c r="F41" t="s">
        <v>28</v>
      </c>
      <c r="G41" s="4">
        <v>42987</v>
      </c>
      <c r="H41" s="8">
        <v>57514</v>
      </c>
      <c r="J41">
        <v>68</v>
      </c>
      <c r="L41" t="s">
        <v>38</v>
      </c>
      <c r="M41" t="str">
        <f>VLOOKUP(F41,Lookup_Departments!A:B,2,0)</f>
        <v>Operations</v>
      </c>
      <c r="N41" s="11">
        <f t="shared" ca="1" si="0"/>
        <v>8.8000000000000007</v>
      </c>
      <c r="O41" s="11" t="str">
        <f t="shared" si="1"/>
        <v>Developing</v>
      </c>
      <c r="P41" s="11" t="str">
        <f t="shared" si="2"/>
        <v>0.02</v>
      </c>
      <c r="Q41" s="6">
        <f t="shared" si="3"/>
        <v>1150.28</v>
      </c>
      <c r="R41" t="str">
        <f>UPPER(F41)</f>
        <v>OPS06</v>
      </c>
      <c r="S41" t="str">
        <f t="shared" si="4"/>
        <v>OPS06</v>
      </c>
      <c r="T41" t="s">
        <v>246</v>
      </c>
      <c r="U41" t="str">
        <f t="shared" si="5"/>
        <v>Sarah Miller</v>
      </c>
      <c r="V41" t="str">
        <f t="shared" si="6"/>
        <v>Active</v>
      </c>
      <c r="W41" t="str">
        <f t="shared" si="7"/>
        <v>Active</v>
      </c>
    </row>
    <row r="42" spans="2:23" hidden="1" x14ac:dyDescent="0.25">
      <c r="B42" s="3" t="s">
        <v>82</v>
      </c>
      <c r="C42" t="s">
        <v>9</v>
      </c>
      <c r="D42" t="s">
        <v>30</v>
      </c>
      <c r="E42" t="s">
        <v>247</v>
      </c>
      <c r="F42" t="s">
        <v>37</v>
      </c>
      <c r="G42" s="4">
        <v>43181</v>
      </c>
      <c r="H42" s="8">
        <v>86245</v>
      </c>
      <c r="J42">
        <v>71</v>
      </c>
      <c r="L42" t="s">
        <v>25</v>
      </c>
      <c r="M42" t="str">
        <f>VLOOKUP(F42,Lookup_Departments!A:B,2,0)</f>
        <v>Sales</v>
      </c>
      <c r="N42" s="11">
        <f t="shared" ca="1" si="0"/>
        <v>8.3000000000000007</v>
      </c>
      <c r="O42" s="11" t="str">
        <f t="shared" si="1"/>
        <v>Achieving</v>
      </c>
      <c r="P42" s="11" t="str">
        <f t="shared" si="2"/>
        <v>0.05</v>
      </c>
      <c r="Q42" s="6">
        <f t="shared" si="3"/>
        <v>4312.25</v>
      </c>
      <c r="R42" t="str">
        <f>UPPER(F42)</f>
        <v>SAL05</v>
      </c>
      <c r="S42" t="str">
        <f t="shared" si="4"/>
        <v>SAL05</v>
      </c>
      <c r="T42" t="s">
        <v>247</v>
      </c>
      <c r="U42" t="str">
        <f t="shared" si="5"/>
        <v>Emily Wilson</v>
      </c>
      <c r="V42" t="str">
        <f t="shared" si="6"/>
        <v>Left</v>
      </c>
      <c r="W42" t="str">
        <f t="shared" si="7"/>
        <v>Left</v>
      </c>
    </row>
    <row r="43" spans="2:23" x14ac:dyDescent="0.25">
      <c r="B43" s="3" t="s">
        <v>83</v>
      </c>
      <c r="C43" t="s">
        <v>84</v>
      </c>
      <c r="D43" t="s">
        <v>14</v>
      </c>
      <c r="E43" t="s">
        <v>248</v>
      </c>
      <c r="F43" t="s">
        <v>37</v>
      </c>
      <c r="G43" s="4">
        <v>44017</v>
      </c>
      <c r="H43" s="8">
        <v>52407</v>
      </c>
      <c r="J43">
        <v>55</v>
      </c>
      <c r="L43" t="s">
        <v>38</v>
      </c>
      <c r="M43" t="str">
        <f>VLOOKUP(F43,Lookup_Departments!A:B,2,0)</f>
        <v>Sales</v>
      </c>
      <c r="N43" s="11">
        <f t="shared" ca="1" si="0"/>
        <v>6</v>
      </c>
      <c r="O43" s="11" t="str">
        <f t="shared" si="1"/>
        <v>Developing</v>
      </c>
      <c r="P43" s="11" t="str">
        <f t="shared" si="2"/>
        <v>0.02</v>
      </c>
      <c r="Q43" s="6">
        <f t="shared" si="3"/>
        <v>1048.1400000000001</v>
      </c>
      <c r="R43" t="str">
        <f>UPPER(F43)</f>
        <v>SAL05</v>
      </c>
      <c r="S43" t="str">
        <f t="shared" si="4"/>
        <v>SAL05</v>
      </c>
      <c r="T43" t="s">
        <v>248</v>
      </c>
      <c r="U43" t="str">
        <f t="shared" si="5"/>
        <v>David Hernandez</v>
      </c>
      <c r="V43" t="str">
        <f t="shared" si="6"/>
        <v>Active</v>
      </c>
      <c r="W43" t="str">
        <f t="shared" si="7"/>
        <v>Active</v>
      </c>
    </row>
    <row r="44" spans="2:23" hidden="1" x14ac:dyDescent="0.25">
      <c r="B44" s="3" t="s">
        <v>85</v>
      </c>
      <c r="C44" t="s">
        <v>53</v>
      </c>
      <c r="D44" t="s">
        <v>24</v>
      </c>
      <c r="E44" t="s">
        <v>249</v>
      </c>
      <c r="F44" t="s">
        <v>28</v>
      </c>
      <c r="G44" s="4">
        <v>43549</v>
      </c>
      <c r="H44" s="8">
        <v>66606</v>
      </c>
      <c r="J44">
        <v>93</v>
      </c>
      <c r="L44" t="s">
        <v>86</v>
      </c>
      <c r="M44" t="str">
        <f>VLOOKUP(F44,Lookup_Departments!A:B,2,0)</f>
        <v>Operations</v>
      </c>
      <c r="N44" s="11">
        <f t="shared" ca="1" si="0"/>
        <v>7.3</v>
      </c>
      <c r="O44" s="11" t="str">
        <f t="shared" si="1"/>
        <v>Exceeding</v>
      </c>
      <c r="P44" s="11" t="str">
        <f t="shared" si="2"/>
        <v>0.08</v>
      </c>
      <c r="Q44" s="6">
        <f t="shared" si="3"/>
        <v>5328.4800000000005</v>
      </c>
      <c r="R44" t="str">
        <f>UPPER(F44)</f>
        <v>OPS06</v>
      </c>
      <c r="S44" t="str">
        <f t="shared" si="4"/>
        <v>OPS06</v>
      </c>
      <c r="T44" t="s">
        <v>249</v>
      </c>
      <c r="U44" t="str">
        <f t="shared" si="5"/>
        <v>James Smith</v>
      </c>
      <c r="V44" t="str">
        <f t="shared" si="6"/>
        <v>Resigned</v>
      </c>
      <c r="W44" t="str">
        <f t="shared" si="7"/>
        <v>Resigned</v>
      </c>
    </row>
    <row r="45" spans="2:23" hidden="1" x14ac:dyDescent="0.25">
      <c r="B45" s="3" t="s">
        <v>87</v>
      </c>
      <c r="C45" t="s">
        <v>72</v>
      </c>
      <c r="D45" t="s">
        <v>44</v>
      </c>
      <c r="E45" t="s">
        <v>250</v>
      </c>
      <c r="F45" t="s">
        <v>11</v>
      </c>
      <c r="G45" s="4">
        <v>43716</v>
      </c>
      <c r="H45" s="8">
        <v>81896</v>
      </c>
      <c r="J45">
        <v>79</v>
      </c>
      <c r="L45" t="s">
        <v>86</v>
      </c>
      <c r="M45" t="str">
        <f>VLOOKUP(F45,Lookup_Departments!A:B,2,0)</f>
        <v>Information Technology</v>
      </c>
      <c r="N45" s="11">
        <f t="shared" ca="1" si="0"/>
        <v>6.8</v>
      </c>
      <c r="O45" s="11" t="str">
        <f t="shared" si="1"/>
        <v>Achieving</v>
      </c>
      <c r="P45" s="11" t="str">
        <f t="shared" si="2"/>
        <v>0.05</v>
      </c>
      <c r="Q45" s="6">
        <f t="shared" si="3"/>
        <v>4094.8</v>
      </c>
      <c r="R45" t="str">
        <f>UPPER(F45)</f>
        <v>IT02</v>
      </c>
      <c r="S45" t="str">
        <f t="shared" si="4"/>
        <v>IT02</v>
      </c>
      <c r="T45" t="s">
        <v>250</v>
      </c>
      <c r="U45" t="str">
        <f t="shared" si="5"/>
        <v>Sarah Williams</v>
      </c>
      <c r="V45" t="str">
        <f t="shared" si="6"/>
        <v>Resigned</v>
      </c>
      <c r="W45" t="str">
        <f t="shared" si="7"/>
        <v>Resigned</v>
      </c>
    </row>
    <row r="46" spans="2:23" x14ac:dyDescent="0.25">
      <c r="B46" s="3" t="s">
        <v>88</v>
      </c>
      <c r="C46" t="s">
        <v>58</v>
      </c>
      <c r="D46" t="s">
        <v>56</v>
      </c>
      <c r="E46" t="s">
        <v>251</v>
      </c>
      <c r="F46" t="s">
        <v>37</v>
      </c>
      <c r="G46" s="4">
        <v>42565</v>
      </c>
      <c r="H46" s="8">
        <v>78402</v>
      </c>
      <c r="J46">
        <v>54</v>
      </c>
      <c r="L46" t="s">
        <v>38</v>
      </c>
      <c r="M46" t="str">
        <f>VLOOKUP(F46,Lookup_Departments!A:B,2,0)</f>
        <v>Sales</v>
      </c>
      <c r="N46" s="11">
        <f t="shared" ca="1" si="0"/>
        <v>10</v>
      </c>
      <c r="O46" s="11" t="str">
        <f t="shared" si="1"/>
        <v>Developing</v>
      </c>
      <c r="P46" s="11" t="str">
        <f t="shared" si="2"/>
        <v>0.02</v>
      </c>
      <c r="Q46" s="6">
        <f t="shared" si="3"/>
        <v>1568.04</v>
      </c>
      <c r="R46" t="str">
        <f>UPPER(F46)</f>
        <v>SAL05</v>
      </c>
      <c r="S46" t="str">
        <f t="shared" si="4"/>
        <v>SAL05</v>
      </c>
      <c r="T46" t="s">
        <v>251</v>
      </c>
      <c r="U46" t="str">
        <f t="shared" si="5"/>
        <v>Amanda Lopez</v>
      </c>
      <c r="V46" t="str">
        <f t="shared" si="6"/>
        <v>Active</v>
      </c>
      <c r="W46" t="str">
        <f t="shared" si="7"/>
        <v>Active</v>
      </c>
    </row>
    <row r="47" spans="2:23" x14ac:dyDescent="0.25">
      <c r="B47" s="3" t="s">
        <v>89</v>
      </c>
      <c r="C47" t="s">
        <v>23</v>
      </c>
      <c r="D47" t="s">
        <v>56</v>
      </c>
      <c r="E47" t="s">
        <v>252</v>
      </c>
      <c r="F47" t="s">
        <v>28</v>
      </c>
      <c r="G47" s="4">
        <v>42470</v>
      </c>
      <c r="H47" s="8">
        <v>105498</v>
      </c>
      <c r="J47">
        <v>76</v>
      </c>
      <c r="L47" t="s">
        <v>38</v>
      </c>
      <c r="M47" t="str">
        <f>VLOOKUP(F47,Lookup_Departments!A:B,2,0)</f>
        <v>Operations</v>
      </c>
      <c r="N47" s="11">
        <f t="shared" ca="1" si="0"/>
        <v>10.199999999999999</v>
      </c>
      <c r="O47" s="11" t="str">
        <f t="shared" si="1"/>
        <v>Achieving</v>
      </c>
      <c r="P47" s="11" t="str">
        <f t="shared" si="2"/>
        <v>0.05</v>
      </c>
      <c r="Q47" s="6">
        <f t="shared" si="3"/>
        <v>5274.9000000000005</v>
      </c>
      <c r="R47" t="str">
        <f>UPPER(F47)</f>
        <v>OPS06</v>
      </c>
      <c r="S47" t="str">
        <f t="shared" si="4"/>
        <v>OPS06</v>
      </c>
      <c r="T47" t="s">
        <v>252</v>
      </c>
      <c r="U47" t="str">
        <f t="shared" si="5"/>
        <v>Thomas Lopez</v>
      </c>
      <c r="V47" t="str">
        <f t="shared" si="6"/>
        <v>Active</v>
      </c>
      <c r="W47" t="str">
        <f t="shared" si="7"/>
        <v>Active</v>
      </c>
    </row>
    <row r="48" spans="2:23" hidden="1" x14ac:dyDescent="0.25">
      <c r="B48" s="3" t="s">
        <v>90</v>
      </c>
      <c r="C48" t="s">
        <v>79</v>
      </c>
      <c r="D48" t="s">
        <v>27</v>
      </c>
      <c r="E48" t="s">
        <v>253</v>
      </c>
      <c r="F48" t="s">
        <v>15</v>
      </c>
      <c r="G48" s="4">
        <v>43745</v>
      </c>
      <c r="H48" s="8">
        <v>91749</v>
      </c>
      <c r="J48">
        <v>72</v>
      </c>
      <c r="L48" t="s">
        <v>25</v>
      </c>
      <c r="M48" t="str">
        <f>VLOOKUP(F48,Lookup_Departments!A:B,2,0)</f>
        <v>Marketing</v>
      </c>
      <c r="N48" s="11">
        <f t="shared" ca="1" si="0"/>
        <v>6.8</v>
      </c>
      <c r="O48" s="11" t="str">
        <f t="shared" si="1"/>
        <v>Achieving</v>
      </c>
      <c r="P48" s="11" t="str">
        <f t="shared" si="2"/>
        <v>0.05</v>
      </c>
      <c r="Q48" s="6">
        <f t="shared" si="3"/>
        <v>4587.45</v>
      </c>
      <c r="R48" t="str">
        <f>UPPER(F48)</f>
        <v>MKT04</v>
      </c>
      <c r="S48" t="str">
        <f t="shared" si="4"/>
        <v>MKT04</v>
      </c>
      <c r="T48" t="s">
        <v>253</v>
      </c>
      <c r="U48" t="str">
        <f t="shared" si="5"/>
        <v>Melissa Johnson</v>
      </c>
      <c r="V48" t="str">
        <f t="shared" si="6"/>
        <v>Left</v>
      </c>
      <c r="W48" t="str">
        <f t="shared" si="7"/>
        <v>Left</v>
      </c>
    </row>
    <row r="49" spans="2:23" hidden="1" x14ac:dyDescent="0.25">
      <c r="B49" s="3" t="s">
        <v>91</v>
      </c>
      <c r="C49" t="s">
        <v>58</v>
      </c>
      <c r="D49" t="s">
        <v>27</v>
      </c>
      <c r="E49" t="s">
        <v>254</v>
      </c>
      <c r="F49" t="s">
        <v>28</v>
      </c>
      <c r="G49" s="4">
        <v>44437</v>
      </c>
      <c r="H49" s="8">
        <v>99935</v>
      </c>
      <c r="J49">
        <v>84</v>
      </c>
      <c r="L49" t="s">
        <v>86</v>
      </c>
      <c r="M49" t="str">
        <f>VLOOKUP(F49,Lookup_Departments!A:B,2,0)</f>
        <v>Operations</v>
      </c>
      <c r="N49" s="11">
        <f t="shared" ca="1" si="0"/>
        <v>4.9000000000000004</v>
      </c>
      <c r="O49" s="11" t="str">
        <f t="shared" si="1"/>
        <v>Achieving</v>
      </c>
      <c r="P49" s="11" t="str">
        <f t="shared" si="2"/>
        <v>0.05</v>
      </c>
      <c r="Q49" s="6">
        <f t="shared" si="3"/>
        <v>4996.75</v>
      </c>
      <c r="R49" t="str">
        <f>UPPER(F49)</f>
        <v>OPS06</v>
      </c>
      <c r="S49" t="str">
        <f t="shared" si="4"/>
        <v>OPS06</v>
      </c>
      <c r="T49" t="s">
        <v>254</v>
      </c>
      <c r="U49" t="str">
        <f t="shared" si="5"/>
        <v>Amanda Johnson</v>
      </c>
      <c r="V49" t="str">
        <f t="shared" si="6"/>
        <v>Resigned</v>
      </c>
      <c r="W49" t="str">
        <f t="shared" si="7"/>
        <v>Resigned</v>
      </c>
    </row>
    <row r="50" spans="2:23" hidden="1" x14ac:dyDescent="0.25">
      <c r="B50" s="3" t="s">
        <v>92</v>
      </c>
      <c r="C50" t="s">
        <v>19</v>
      </c>
      <c r="D50" t="s">
        <v>51</v>
      </c>
      <c r="E50" t="s">
        <v>255</v>
      </c>
      <c r="F50" t="s">
        <v>11</v>
      </c>
      <c r="G50" s="4">
        <v>42761</v>
      </c>
      <c r="H50" s="8">
        <v>83531</v>
      </c>
      <c r="J50">
        <v>30</v>
      </c>
      <c r="L50" t="s">
        <v>25</v>
      </c>
      <c r="M50" t="str">
        <f>VLOOKUP(F50,Lookup_Departments!A:B,2,0)</f>
        <v>Information Technology</v>
      </c>
      <c r="N50" s="11">
        <f t="shared" ca="1" si="0"/>
        <v>9.4</v>
      </c>
      <c r="O50" s="11" t="str">
        <f t="shared" si="1"/>
        <v>Needs Improvement</v>
      </c>
      <c r="P50" s="11" t="str">
        <f t="shared" si="2"/>
        <v>0</v>
      </c>
      <c r="Q50" s="6">
        <f t="shared" si="3"/>
        <v>0</v>
      </c>
      <c r="R50" t="str">
        <f>UPPER(F50)</f>
        <v>IT02</v>
      </c>
      <c r="S50" t="str">
        <f t="shared" si="4"/>
        <v>IT02</v>
      </c>
      <c r="T50" t="s">
        <v>255</v>
      </c>
      <c r="U50" t="str">
        <f t="shared" si="5"/>
        <v>John Davis</v>
      </c>
      <c r="V50" t="str">
        <f t="shared" si="6"/>
        <v>Left</v>
      </c>
      <c r="W50" t="str">
        <f t="shared" si="7"/>
        <v>Left</v>
      </c>
    </row>
    <row r="51" spans="2:23" x14ac:dyDescent="0.25">
      <c r="B51" s="3" t="s">
        <v>93</v>
      </c>
      <c r="C51" t="s">
        <v>53</v>
      </c>
      <c r="D51" t="s">
        <v>27</v>
      </c>
      <c r="E51" t="s">
        <v>256</v>
      </c>
      <c r="F51" t="s">
        <v>15</v>
      </c>
      <c r="G51" s="4">
        <v>43981</v>
      </c>
      <c r="H51" s="8">
        <v>75023</v>
      </c>
      <c r="J51">
        <v>68</v>
      </c>
      <c r="L51" t="s">
        <v>38</v>
      </c>
      <c r="M51" t="str">
        <f>VLOOKUP(F51,Lookup_Departments!A:B,2,0)</f>
        <v>Marketing</v>
      </c>
      <c r="N51" s="11">
        <f t="shared" ca="1" si="0"/>
        <v>6.1</v>
      </c>
      <c r="O51" s="11" t="str">
        <f t="shared" si="1"/>
        <v>Developing</v>
      </c>
      <c r="P51" s="11" t="str">
        <f t="shared" si="2"/>
        <v>0.02</v>
      </c>
      <c r="Q51" s="6">
        <f t="shared" si="3"/>
        <v>1500.46</v>
      </c>
      <c r="R51" t="str">
        <f>UPPER(F51)</f>
        <v>MKT04</v>
      </c>
      <c r="S51" t="str">
        <f t="shared" si="4"/>
        <v>MKT04</v>
      </c>
      <c r="T51" t="s">
        <v>256</v>
      </c>
      <c r="U51" t="str">
        <f t="shared" si="5"/>
        <v>James Johnson</v>
      </c>
      <c r="V51" t="str">
        <f t="shared" si="6"/>
        <v>Active</v>
      </c>
      <c r="W51" t="str">
        <f t="shared" si="7"/>
        <v>Active</v>
      </c>
    </row>
    <row r="52" spans="2:23" x14ac:dyDescent="0.25">
      <c r="B52" s="3" t="s">
        <v>94</v>
      </c>
      <c r="C52" t="s">
        <v>43</v>
      </c>
      <c r="D52" t="s">
        <v>51</v>
      </c>
      <c r="E52" t="s">
        <v>257</v>
      </c>
      <c r="F52" t="s">
        <v>74</v>
      </c>
      <c r="G52" s="4">
        <v>44612</v>
      </c>
      <c r="H52" s="8">
        <v>93290</v>
      </c>
      <c r="J52">
        <v>53</v>
      </c>
      <c r="L52" t="s">
        <v>38</v>
      </c>
      <c r="M52" t="str">
        <f>VLOOKUP(F52,Lookup_Departments!A:B,2,0)</f>
        <v>Human Resources</v>
      </c>
      <c r="N52" s="11">
        <f t="shared" ca="1" si="0"/>
        <v>4.4000000000000004</v>
      </c>
      <c r="O52" s="11" t="str">
        <f t="shared" si="1"/>
        <v>Developing</v>
      </c>
      <c r="P52" s="11" t="str">
        <f t="shared" si="2"/>
        <v>0.02</v>
      </c>
      <c r="Q52" s="6">
        <f t="shared" si="3"/>
        <v>1865.8</v>
      </c>
      <c r="R52" t="str">
        <f>UPPER(F52)</f>
        <v>HR01</v>
      </c>
      <c r="S52" t="str">
        <f t="shared" si="4"/>
        <v>HR01</v>
      </c>
      <c r="T52" t="s">
        <v>257</v>
      </c>
      <c r="U52" t="str">
        <f t="shared" si="5"/>
        <v>Jane Davis</v>
      </c>
      <c r="V52" t="str">
        <f t="shared" si="6"/>
        <v>Active</v>
      </c>
      <c r="W52" t="str">
        <f t="shared" si="7"/>
        <v>Active</v>
      </c>
    </row>
    <row r="53" spans="2:23" hidden="1" x14ac:dyDescent="0.25">
      <c r="B53" s="3" t="s">
        <v>95</v>
      </c>
      <c r="C53" t="s">
        <v>13</v>
      </c>
      <c r="D53" t="s">
        <v>51</v>
      </c>
      <c r="E53" t="s">
        <v>258</v>
      </c>
      <c r="F53" t="s">
        <v>28</v>
      </c>
      <c r="G53" s="4">
        <v>42628</v>
      </c>
      <c r="H53" s="8">
        <v>115527</v>
      </c>
      <c r="J53">
        <v>63</v>
      </c>
      <c r="L53" t="s">
        <v>86</v>
      </c>
      <c r="M53" t="str">
        <f>VLOOKUP(F53,Lookup_Departments!A:B,2,0)</f>
        <v>Operations</v>
      </c>
      <c r="N53" s="11">
        <f t="shared" ca="1" si="0"/>
        <v>9.8000000000000007</v>
      </c>
      <c r="O53" s="11" t="str">
        <f t="shared" si="1"/>
        <v>Developing</v>
      </c>
      <c r="P53" s="11" t="str">
        <f t="shared" si="2"/>
        <v>0.02</v>
      </c>
      <c r="Q53" s="6">
        <f t="shared" si="3"/>
        <v>2310.54</v>
      </c>
      <c r="R53" t="str">
        <f>UPPER(F53)</f>
        <v>OPS06</v>
      </c>
      <c r="S53" t="str">
        <f t="shared" si="4"/>
        <v>OPS06</v>
      </c>
      <c r="T53" t="s">
        <v>258</v>
      </c>
      <c r="U53" t="str">
        <f t="shared" si="5"/>
        <v>Richard Davis</v>
      </c>
      <c r="V53" t="str">
        <f t="shared" si="6"/>
        <v>Resigned</v>
      </c>
      <c r="W53" t="str">
        <f t="shared" si="7"/>
        <v>Resigned</v>
      </c>
    </row>
    <row r="54" spans="2:23" x14ac:dyDescent="0.25">
      <c r="B54" s="3" t="s">
        <v>96</v>
      </c>
      <c r="C54" t="s">
        <v>23</v>
      </c>
      <c r="D54" t="s">
        <v>34</v>
      </c>
      <c r="E54" t="s">
        <v>228</v>
      </c>
      <c r="F54" t="s">
        <v>21</v>
      </c>
      <c r="G54" s="4">
        <v>43745</v>
      </c>
      <c r="H54" s="8">
        <v>55920</v>
      </c>
      <c r="J54">
        <v>84</v>
      </c>
      <c r="L54" t="s">
        <v>38</v>
      </c>
      <c r="M54" t="str">
        <f>VLOOKUP(F54,Lookup_Departments!A:B,2,0)</f>
        <v>Finance</v>
      </c>
      <c r="N54" s="11">
        <f t="shared" ca="1" si="0"/>
        <v>6.8</v>
      </c>
      <c r="O54" s="11" t="str">
        <f t="shared" si="1"/>
        <v>Achieving</v>
      </c>
      <c r="P54" s="11" t="str">
        <f t="shared" si="2"/>
        <v>0.05</v>
      </c>
      <c r="Q54" s="6">
        <f t="shared" si="3"/>
        <v>2796</v>
      </c>
      <c r="R54" t="str">
        <f>UPPER(F54)</f>
        <v>FIN03</v>
      </c>
      <c r="S54" t="str">
        <f t="shared" si="4"/>
        <v>FIN03</v>
      </c>
      <c r="T54" t="s">
        <v>228</v>
      </c>
      <c r="U54" t="str">
        <f t="shared" si="5"/>
        <v>Thomas Rodriguez</v>
      </c>
      <c r="V54" t="str">
        <f t="shared" si="6"/>
        <v>Active</v>
      </c>
      <c r="W54" t="str">
        <f t="shared" si="7"/>
        <v>Active</v>
      </c>
    </row>
    <row r="55" spans="2:23" x14ac:dyDescent="0.25">
      <c r="B55" s="3" t="s">
        <v>97</v>
      </c>
      <c r="C55" t="s">
        <v>9</v>
      </c>
      <c r="D55" t="s">
        <v>27</v>
      </c>
      <c r="E55" t="s">
        <v>219</v>
      </c>
      <c r="F55" t="s">
        <v>37</v>
      </c>
      <c r="G55" s="4">
        <v>43464</v>
      </c>
      <c r="H55" s="8">
        <v>80189</v>
      </c>
      <c r="J55">
        <v>30</v>
      </c>
      <c r="L55" t="s">
        <v>38</v>
      </c>
      <c r="M55" t="str">
        <f>VLOOKUP(F55,Lookup_Departments!A:B,2,0)</f>
        <v>Sales</v>
      </c>
      <c r="N55" s="11">
        <f t="shared" ca="1" si="0"/>
        <v>7.5</v>
      </c>
      <c r="O55" s="11" t="str">
        <f t="shared" si="1"/>
        <v>Needs Improvement</v>
      </c>
      <c r="P55" s="11" t="str">
        <f t="shared" si="2"/>
        <v>0</v>
      </c>
      <c r="Q55" s="6">
        <f t="shared" si="3"/>
        <v>0</v>
      </c>
      <c r="R55" t="str">
        <f>UPPER(F55)</f>
        <v>SAL05</v>
      </c>
      <c r="S55" t="str">
        <f t="shared" si="4"/>
        <v>SAL05</v>
      </c>
      <c r="T55" t="s">
        <v>219</v>
      </c>
      <c r="U55" t="str">
        <f t="shared" si="5"/>
        <v>Emily Johnson</v>
      </c>
      <c r="V55" t="str">
        <f t="shared" si="6"/>
        <v>Active</v>
      </c>
      <c r="W55" t="str">
        <f t="shared" si="7"/>
        <v>Active</v>
      </c>
    </row>
    <row r="56" spans="2:23" x14ac:dyDescent="0.25">
      <c r="B56" s="3" t="s">
        <v>98</v>
      </c>
      <c r="C56" t="s">
        <v>9</v>
      </c>
      <c r="D56" t="s">
        <v>99</v>
      </c>
      <c r="E56" t="s">
        <v>259</v>
      </c>
      <c r="F56" t="s">
        <v>74</v>
      </c>
      <c r="G56" s="4">
        <v>44189</v>
      </c>
      <c r="H56" s="8">
        <v>118947</v>
      </c>
      <c r="J56">
        <v>96</v>
      </c>
      <c r="L56" t="s">
        <v>38</v>
      </c>
      <c r="M56" t="str">
        <f>VLOOKUP(F56,Lookup_Departments!A:B,2,0)</f>
        <v>Human Resources</v>
      </c>
      <c r="N56" s="11">
        <f t="shared" ca="1" si="0"/>
        <v>5.5</v>
      </c>
      <c r="O56" s="11" t="str">
        <f t="shared" si="1"/>
        <v>Outstanding</v>
      </c>
      <c r="P56" s="11" t="str">
        <f t="shared" si="2"/>
        <v>0.12</v>
      </c>
      <c r="Q56" s="6">
        <f t="shared" si="3"/>
        <v>14273.64</v>
      </c>
      <c r="R56" t="str">
        <f>UPPER(F56)</f>
        <v>HR01</v>
      </c>
      <c r="S56" t="str">
        <f t="shared" si="4"/>
        <v>HR01</v>
      </c>
      <c r="T56" t="s">
        <v>259</v>
      </c>
      <c r="U56" t="str">
        <f t="shared" si="5"/>
        <v>Emily Garcia</v>
      </c>
      <c r="V56" t="str">
        <f t="shared" si="6"/>
        <v>Active</v>
      </c>
      <c r="W56" t="str">
        <f t="shared" si="7"/>
        <v>Active</v>
      </c>
    </row>
    <row r="57" spans="2:23" x14ac:dyDescent="0.25">
      <c r="B57" s="3" t="s">
        <v>100</v>
      </c>
      <c r="C57" t="s">
        <v>43</v>
      </c>
      <c r="D57" t="s">
        <v>101</v>
      </c>
      <c r="E57" t="s">
        <v>260</v>
      </c>
      <c r="F57" t="s">
        <v>11</v>
      </c>
      <c r="G57" s="4">
        <v>45053</v>
      </c>
      <c r="H57" s="8">
        <v>83604</v>
      </c>
      <c r="J57">
        <v>54</v>
      </c>
      <c r="L57" t="s">
        <v>38</v>
      </c>
      <c r="M57" t="str">
        <f>VLOOKUP(F57,Lookup_Departments!A:B,2,0)</f>
        <v>Information Technology</v>
      </c>
      <c r="N57" s="11">
        <f t="shared" ca="1" si="0"/>
        <v>3.2</v>
      </c>
      <c r="O57" s="11" t="str">
        <f t="shared" si="1"/>
        <v>Developing</v>
      </c>
      <c r="P57" s="11" t="str">
        <f t="shared" si="2"/>
        <v>0.02</v>
      </c>
      <c r="Q57" s="6">
        <f t="shared" si="3"/>
        <v>1672.08</v>
      </c>
      <c r="R57" t="str">
        <f>UPPER(F57)</f>
        <v>IT02</v>
      </c>
      <c r="S57" t="str">
        <f t="shared" si="4"/>
        <v>IT02</v>
      </c>
      <c r="T57" t="s">
        <v>260</v>
      </c>
      <c r="U57" t="str">
        <f t="shared" si="5"/>
        <v>Jane Anderson</v>
      </c>
      <c r="V57" t="str">
        <f t="shared" si="6"/>
        <v>Active</v>
      </c>
      <c r="W57" t="str">
        <f t="shared" si="7"/>
        <v>Active</v>
      </c>
    </row>
    <row r="58" spans="2:23" x14ac:dyDescent="0.25">
      <c r="B58" s="3" t="s">
        <v>102</v>
      </c>
      <c r="C58" t="s">
        <v>23</v>
      </c>
      <c r="D58" t="s">
        <v>99</v>
      </c>
      <c r="E58" t="s">
        <v>261</v>
      </c>
      <c r="F58" t="s">
        <v>28</v>
      </c>
      <c r="G58" s="4">
        <v>44148</v>
      </c>
      <c r="H58" s="8">
        <v>83604</v>
      </c>
      <c r="J58">
        <v>75</v>
      </c>
      <c r="L58" t="s">
        <v>38</v>
      </c>
      <c r="M58" t="str">
        <f>VLOOKUP(F58,Lookup_Departments!A:B,2,0)</f>
        <v>Operations</v>
      </c>
      <c r="N58" s="11">
        <f t="shared" ca="1" si="0"/>
        <v>5.6</v>
      </c>
      <c r="O58" s="11" t="str">
        <f t="shared" si="1"/>
        <v>Achieving</v>
      </c>
      <c r="P58" s="11" t="str">
        <f t="shared" si="2"/>
        <v>0.05</v>
      </c>
      <c r="Q58" s="6">
        <f t="shared" si="3"/>
        <v>4180.2</v>
      </c>
      <c r="R58" t="str">
        <f>UPPER(F58)</f>
        <v>OPS06</v>
      </c>
      <c r="S58" t="str">
        <f t="shared" si="4"/>
        <v>OPS06</v>
      </c>
      <c r="T58" t="s">
        <v>261</v>
      </c>
      <c r="U58" t="str">
        <f t="shared" si="5"/>
        <v>Thomas Garcia</v>
      </c>
      <c r="V58" t="str">
        <f t="shared" si="6"/>
        <v>Active</v>
      </c>
      <c r="W58" t="str">
        <f t="shared" si="7"/>
        <v>Active</v>
      </c>
    </row>
    <row r="59" spans="2:23" x14ac:dyDescent="0.25">
      <c r="B59" s="3" t="s">
        <v>103</v>
      </c>
      <c r="C59" t="s">
        <v>84</v>
      </c>
      <c r="D59" t="s">
        <v>20</v>
      </c>
      <c r="E59" t="s">
        <v>262</v>
      </c>
      <c r="F59" t="s">
        <v>74</v>
      </c>
      <c r="G59" s="4">
        <v>43138</v>
      </c>
      <c r="H59" s="8">
        <v>91655</v>
      </c>
      <c r="J59">
        <v>95</v>
      </c>
      <c r="L59" t="s">
        <v>38</v>
      </c>
      <c r="M59" t="str">
        <f>VLOOKUP(F59,Lookup_Departments!A:B,2,0)</f>
        <v>Human Resources</v>
      </c>
      <c r="N59" s="11">
        <f t="shared" ca="1" si="0"/>
        <v>8.4</v>
      </c>
      <c r="O59" s="11" t="str">
        <f t="shared" si="1"/>
        <v>Exceeding</v>
      </c>
      <c r="P59" s="11" t="str">
        <f t="shared" si="2"/>
        <v>0.08</v>
      </c>
      <c r="Q59" s="6">
        <f t="shared" si="3"/>
        <v>7332.4000000000005</v>
      </c>
      <c r="R59" t="str">
        <f>UPPER(F59)</f>
        <v>HR01</v>
      </c>
      <c r="S59" t="str">
        <f t="shared" si="4"/>
        <v>HR01</v>
      </c>
      <c r="T59" t="s">
        <v>262</v>
      </c>
      <c r="U59" t="str">
        <f t="shared" si="5"/>
        <v>David Martinez</v>
      </c>
      <c r="V59" t="str">
        <f t="shared" si="6"/>
        <v>Active</v>
      </c>
      <c r="W59" t="str">
        <f t="shared" si="7"/>
        <v>Active</v>
      </c>
    </row>
    <row r="60" spans="2:23" hidden="1" x14ac:dyDescent="0.25">
      <c r="B60" s="3" t="s">
        <v>104</v>
      </c>
      <c r="C60" t="s">
        <v>9</v>
      </c>
      <c r="D60" t="s">
        <v>10</v>
      </c>
      <c r="E60" t="s">
        <v>214</v>
      </c>
      <c r="F60" t="s">
        <v>11</v>
      </c>
      <c r="G60" s="4">
        <v>45255</v>
      </c>
      <c r="H60" s="8">
        <v>49435</v>
      </c>
      <c r="J60">
        <v>68</v>
      </c>
      <c r="L60" t="s">
        <v>25</v>
      </c>
      <c r="M60" t="str">
        <f>VLOOKUP(F60,Lookup_Departments!A:B,2,0)</f>
        <v>Information Technology</v>
      </c>
      <c r="N60" s="11">
        <f t="shared" ca="1" si="0"/>
        <v>2.6</v>
      </c>
      <c r="O60" s="11" t="str">
        <f t="shared" si="1"/>
        <v>Developing</v>
      </c>
      <c r="P60" s="11" t="str">
        <f t="shared" si="2"/>
        <v>0.02</v>
      </c>
      <c r="Q60" s="6">
        <f t="shared" si="3"/>
        <v>988.7</v>
      </c>
      <c r="R60" t="str">
        <f>UPPER(F60)</f>
        <v>IT02</v>
      </c>
      <c r="S60" t="str">
        <f t="shared" si="4"/>
        <v>IT02</v>
      </c>
      <c r="T60" t="s">
        <v>214</v>
      </c>
      <c r="U60" t="str">
        <f t="shared" si="5"/>
        <v>Emily Brown</v>
      </c>
      <c r="V60" t="str">
        <f t="shared" si="6"/>
        <v>Left</v>
      </c>
      <c r="W60" t="str">
        <f t="shared" si="7"/>
        <v>Left</v>
      </c>
    </row>
    <row r="61" spans="2:23" x14ac:dyDescent="0.25">
      <c r="B61" s="3" t="s">
        <v>105</v>
      </c>
      <c r="C61" t="s">
        <v>9</v>
      </c>
      <c r="D61" t="s">
        <v>30</v>
      </c>
      <c r="E61" t="s">
        <v>247</v>
      </c>
      <c r="F61" t="s">
        <v>37</v>
      </c>
      <c r="G61" s="4">
        <v>45217</v>
      </c>
      <c r="H61" s="8">
        <v>110381</v>
      </c>
      <c r="J61">
        <v>93</v>
      </c>
      <c r="L61" t="s">
        <v>38</v>
      </c>
      <c r="M61" t="str">
        <f>VLOOKUP(F61,Lookup_Departments!A:B,2,0)</f>
        <v>Sales</v>
      </c>
      <c r="N61" s="11">
        <f t="shared" ca="1" si="0"/>
        <v>2.7</v>
      </c>
      <c r="O61" s="11" t="str">
        <f t="shared" si="1"/>
        <v>Exceeding</v>
      </c>
      <c r="P61" s="11" t="str">
        <f t="shared" si="2"/>
        <v>0.08</v>
      </c>
      <c r="Q61" s="6">
        <f t="shared" si="3"/>
        <v>8830.48</v>
      </c>
      <c r="R61" t="str">
        <f>UPPER(F61)</f>
        <v>SAL05</v>
      </c>
      <c r="S61" t="str">
        <f t="shared" si="4"/>
        <v>SAL05</v>
      </c>
      <c r="T61" t="s">
        <v>247</v>
      </c>
      <c r="U61" t="str">
        <f t="shared" si="5"/>
        <v>Emily Wilson</v>
      </c>
      <c r="V61" t="str">
        <f t="shared" si="6"/>
        <v>Active</v>
      </c>
      <c r="W61" t="str">
        <f t="shared" si="7"/>
        <v>Active</v>
      </c>
    </row>
    <row r="62" spans="2:23" x14ac:dyDescent="0.25">
      <c r="B62" s="3" t="s">
        <v>106</v>
      </c>
      <c r="C62" t="s">
        <v>36</v>
      </c>
      <c r="D62" t="s">
        <v>101</v>
      </c>
      <c r="E62" t="s">
        <v>263</v>
      </c>
      <c r="F62" t="s">
        <v>74</v>
      </c>
      <c r="G62" s="4">
        <v>43960</v>
      </c>
      <c r="H62" s="8">
        <v>114748</v>
      </c>
      <c r="J62">
        <v>33</v>
      </c>
      <c r="L62" t="s">
        <v>38</v>
      </c>
      <c r="M62" t="str">
        <f>VLOOKUP(F62,Lookup_Departments!A:B,2,0)</f>
        <v>Human Resources</v>
      </c>
      <c r="N62" s="11">
        <f t="shared" ca="1" si="0"/>
        <v>6.2</v>
      </c>
      <c r="O62" s="11" t="str">
        <f t="shared" si="1"/>
        <v>Needs Improvement</v>
      </c>
      <c r="P62" s="11" t="str">
        <f t="shared" si="2"/>
        <v>0</v>
      </c>
      <c r="Q62" s="6">
        <f t="shared" si="3"/>
        <v>0</v>
      </c>
      <c r="R62" t="str">
        <f>UPPER(F62)</f>
        <v>HR01</v>
      </c>
      <c r="S62" t="str">
        <f t="shared" si="4"/>
        <v>HR01</v>
      </c>
      <c r="T62" t="s">
        <v>263</v>
      </c>
      <c r="U62" t="str">
        <f t="shared" si="5"/>
        <v>Michael Anderson</v>
      </c>
      <c r="V62" t="str">
        <f t="shared" si="6"/>
        <v>Active</v>
      </c>
      <c r="W62" t="str">
        <f t="shared" si="7"/>
        <v>Active</v>
      </c>
    </row>
    <row r="63" spans="2:23" x14ac:dyDescent="0.25">
      <c r="B63" s="3" t="s">
        <v>107</v>
      </c>
      <c r="C63" t="s">
        <v>47</v>
      </c>
      <c r="D63" t="s">
        <v>27</v>
      </c>
      <c r="E63" t="s">
        <v>264</v>
      </c>
      <c r="F63" t="s">
        <v>28</v>
      </c>
      <c r="G63" s="4">
        <v>42889</v>
      </c>
      <c r="H63" s="8">
        <v>63302</v>
      </c>
      <c r="J63">
        <v>91</v>
      </c>
      <c r="L63" t="s">
        <v>38</v>
      </c>
      <c r="M63" t="str">
        <f>VLOOKUP(F63,Lookup_Departments!A:B,2,0)</f>
        <v>Operations</v>
      </c>
      <c r="N63" s="11">
        <f t="shared" ca="1" si="0"/>
        <v>9.1</v>
      </c>
      <c r="O63" s="11" t="str">
        <f t="shared" si="1"/>
        <v>Exceeding</v>
      </c>
      <c r="P63" s="11" t="str">
        <f t="shared" si="2"/>
        <v>0.08</v>
      </c>
      <c r="Q63" s="6">
        <f t="shared" si="3"/>
        <v>5064.16</v>
      </c>
      <c r="R63" t="str">
        <f>UPPER(F63)</f>
        <v>OPS06</v>
      </c>
      <c r="S63" t="str">
        <f t="shared" si="4"/>
        <v>OPS06</v>
      </c>
      <c r="T63" t="s">
        <v>264</v>
      </c>
      <c r="U63" t="str">
        <f t="shared" si="5"/>
        <v>Robert Johnson</v>
      </c>
      <c r="V63" t="str">
        <f t="shared" si="6"/>
        <v>Active</v>
      </c>
      <c r="W63" t="str">
        <f t="shared" si="7"/>
        <v>Active</v>
      </c>
    </row>
    <row r="64" spans="2:23" x14ac:dyDescent="0.25">
      <c r="B64" s="3" t="s">
        <v>108</v>
      </c>
      <c r="C64" t="s">
        <v>47</v>
      </c>
      <c r="D64" t="s">
        <v>40</v>
      </c>
      <c r="E64" t="s">
        <v>265</v>
      </c>
      <c r="F64" t="s">
        <v>11</v>
      </c>
      <c r="G64" s="4">
        <v>42122</v>
      </c>
      <c r="H64" s="8">
        <v>75519</v>
      </c>
      <c r="J64">
        <v>64</v>
      </c>
      <c r="L64" t="s">
        <v>38</v>
      </c>
      <c r="M64" t="str">
        <f>VLOOKUP(F64,Lookup_Departments!A:B,2,0)</f>
        <v>Information Technology</v>
      </c>
      <c r="N64" s="11">
        <f t="shared" ca="1" si="0"/>
        <v>11.2</v>
      </c>
      <c r="O64" s="11" t="str">
        <f t="shared" si="1"/>
        <v>Developing</v>
      </c>
      <c r="P64" s="11" t="str">
        <f t="shared" si="2"/>
        <v>0.02</v>
      </c>
      <c r="Q64" s="6">
        <f t="shared" si="3"/>
        <v>1510.38</v>
      </c>
      <c r="R64" t="str">
        <f>UPPER(F64)</f>
        <v>IT02</v>
      </c>
      <c r="S64" t="str">
        <f t="shared" si="4"/>
        <v>IT02</v>
      </c>
      <c r="T64" t="s">
        <v>265</v>
      </c>
      <c r="U64" t="str">
        <f t="shared" si="5"/>
        <v>Robert Miller</v>
      </c>
      <c r="V64" t="str">
        <f t="shared" si="6"/>
        <v>Active</v>
      </c>
      <c r="W64" t="str">
        <f t="shared" si="7"/>
        <v>Active</v>
      </c>
    </row>
    <row r="65" spans="2:23" x14ac:dyDescent="0.25">
      <c r="B65" s="3" t="s">
        <v>109</v>
      </c>
      <c r="C65" t="s">
        <v>43</v>
      </c>
      <c r="D65" t="s">
        <v>51</v>
      </c>
      <c r="E65" t="s">
        <v>257</v>
      </c>
      <c r="F65" t="s">
        <v>21</v>
      </c>
      <c r="G65" s="4">
        <v>42838</v>
      </c>
      <c r="H65" s="8">
        <v>103891</v>
      </c>
      <c r="J65">
        <v>80</v>
      </c>
      <c r="L65" t="s">
        <v>38</v>
      </c>
      <c r="M65" t="str">
        <f>VLOOKUP(F65,Lookup_Departments!A:B,2,0)</f>
        <v>Finance</v>
      </c>
      <c r="N65" s="11">
        <f t="shared" ca="1" si="0"/>
        <v>9.1999999999999993</v>
      </c>
      <c r="O65" s="11" t="str">
        <f t="shared" si="1"/>
        <v>Achieving</v>
      </c>
      <c r="P65" s="11" t="str">
        <f t="shared" si="2"/>
        <v>0.05</v>
      </c>
      <c r="Q65" s="6">
        <f t="shared" si="3"/>
        <v>5194.55</v>
      </c>
      <c r="R65" t="str">
        <f>UPPER(F65)</f>
        <v>FIN03</v>
      </c>
      <c r="S65" t="str">
        <f t="shared" si="4"/>
        <v>FIN03</v>
      </c>
      <c r="T65" t="s">
        <v>257</v>
      </c>
      <c r="U65" t="str">
        <f t="shared" si="5"/>
        <v>Jane Davis</v>
      </c>
      <c r="V65" t="str">
        <f t="shared" si="6"/>
        <v>Active</v>
      </c>
      <c r="W65" t="str">
        <f t="shared" si="7"/>
        <v>Active</v>
      </c>
    </row>
    <row r="66" spans="2:23" hidden="1" x14ac:dyDescent="0.25">
      <c r="B66" s="3" t="s">
        <v>110</v>
      </c>
      <c r="C66" t="s">
        <v>23</v>
      </c>
      <c r="D66" t="s">
        <v>51</v>
      </c>
      <c r="E66" t="s">
        <v>266</v>
      </c>
      <c r="F66" t="s">
        <v>28</v>
      </c>
      <c r="G66" s="4">
        <v>44827</v>
      </c>
      <c r="H66" s="8">
        <v>83604</v>
      </c>
      <c r="J66">
        <v>46</v>
      </c>
      <c r="L66" t="s">
        <v>25</v>
      </c>
      <c r="M66" t="str">
        <f>VLOOKUP(F66,Lookup_Departments!A:B,2,0)</f>
        <v>Operations</v>
      </c>
      <c r="N66" s="11">
        <f t="shared" ca="1" si="0"/>
        <v>3.8</v>
      </c>
      <c r="O66" s="11" t="str">
        <f t="shared" si="1"/>
        <v>Needs Improvement</v>
      </c>
      <c r="P66" s="11" t="str">
        <f t="shared" si="2"/>
        <v>0</v>
      </c>
      <c r="Q66" s="6">
        <f t="shared" si="3"/>
        <v>0</v>
      </c>
      <c r="R66" t="str">
        <f>UPPER(F66)</f>
        <v>OPS06</v>
      </c>
      <c r="S66" t="str">
        <f t="shared" si="4"/>
        <v>OPS06</v>
      </c>
      <c r="T66" t="s">
        <v>266</v>
      </c>
      <c r="U66" t="str">
        <f t="shared" si="5"/>
        <v>Thomas Davis</v>
      </c>
      <c r="V66" t="str">
        <f t="shared" si="6"/>
        <v>Left</v>
      </c>
      <c r="W66" t="str">
        <f t="shared" si="7"/>
        <v>Left</v>
      </c>
    </row>
    <row r="67" spans="2:23" x14ac:dyDescent="0.25">
      <c r="B67" s="3" t="s">
        <v>111</v>
      </c>
      <c r="C67" t="s">
        <v>23</v>
      </c>
      <c r="D67" t="s">
        <v>48</v>
      </c>
      <c r="E67" t="s">
        <v>267</v>
      </c>
      <c r="F67" t="s">
        <v>15</v>
      </c>
      <c r="G67" s="4">
        <v>42685</v>
      </c>
      <c r="H67" s="8">
        <v>50936</v>
      </c>
      <c r="J67">
        <v>99</v>
      </c>
      <c r="L67" t="s">
        <v>38</v>
      </c>
      <c r="M67" t="str">
        <f>VLOOKUP(F67,Lookup_Departments!A:B,2,0)</f>
        <v>Marketing</v>
      </c>
      <c r="N67" s="11">
        <f t="shared" ref="N67:N130" ca="1" si="8">ROUND((TODAY()-((G:G)))/365.25,1)</f>
        <v>9.6999999999999993</v>
      </c>
      <c r="O67" s="11" t="str">
        <f t="shared" ref="O67:O130" si="9">IF(J67&gt;95,"Outstanding",IF(J67&gt;85,"Exceeding",IF(J67&gt;70,"Achieving",IF(J67&gt;50,"Developing",IF(J67&lt;50,"Needs Improvement","Needs Improvement")))))</f>
        <v>Outstanding</v>
      </c>
      <c r="P67" s="11" t="str">
        <f t="shared" ref="P67:P130" si="10">IF(J67&gt;95,"0.12",IF(J67&gt;85,"0.08",IF(J67&gt;70,"0.05",IF(J67&gt;50,"0.02",IF(J67&lt;50,"0","0")))))</f>
        <v>0.12</v>
      </c>
      <c r="Q67" s="6">
        <f t="shared" ref="Q67:Q130" si="11">H67*P67</f>
        <v>6112.32</v>
      </c>
      <c r="R67" t="str">
        <f>UPPER(F67)</f>
        <v>MKT04</v>
      </c>
      <c r="S67" t="str">
        <f t="shared" ref="S67:S130" si="12">TRIM(R67)</f>
        <v>MKT04</v>
      </c>
      <c r="T67" t="s">
        <v>267</v>
      </c>
      <c r="U67" t="str">
        <f t="shared" ref="U67:U130" si="13">TRIM(T67)</f>
        <v>Thomas Jones</v>
      </c>
      <c r="V67" t="str">
        <f t="shared" ref="V67:V130" si="14">PROPER(L67)</f>
        <v>Active</v>
      </c>
      <c r="W67" t="str">
        <f t="shared" ref="W67:W130" si="15">TRIM(V67)</f>
        <v>Active</v>
      </c>
    </row>
    <row r="68" spans="2:23" x14ac:dyDescent="0.25">
      <c r="B68" s="3" t="s">
        <v>112</v>
      </c>
      <c r="C68" t="s">
        <v>36</v>
      </c>
      <c r="D68" t="s">
        <v>40</v>
      </c>
      <c r="E68" t="s">
        <v>268</v>
      </c>
      <c r="F68" t="s">
        <v>37</v>
      </c>
      <c r="G68" s="4">
        <v>42818</v>
      </c>
      <c r="H68" s="8">
        <v>111240</v>
      </c>
      <c r="J68">
        <v>68</v>
      </c>
      <c r="L68" t="s">
        <v>38</v>
      </c>
      <c r="M68" t="str">
        <f>VLOOKUP(F68,Lookup_Departments!A:B,2,0)</f>
        <v>Sales</v>
      </c>
      <c r="N68" s="11">
        <f t="shared" ca="1" si="8"/>
        <v>9.3000000000000007</v>
      </c>
      <c r="O68" s="11" t="str">
        <f t="shared" si="9"/>
        <v>Developing</v>
      </c>
      <c r="P68" s="11" t="str">
        <f t="shared" si="10"/>
        <v>0.02</v>
      </c>
      <c r="Q68" s="6">
        <f t="shared" si="11"/>
        <v>2224.8000000000002</v>
      </c>
      <c r="R68" t="str">
        <f>UPPER(F68)</f>
        <v>SAL05</v>
      </c>
      <c r="S68" t="str">
        <f t="shared" si="12"/>
        <v>SAL05</v>
      </c>
      <c r="T68" t="s">
        <v>268</v>
      </c>
      <c r="U68" t="str">
        <f t="shared" si="13"/>
        <v>Michael Miller</v>
      </c>
      <c r="V68" t="str">
        <f t="shared" si="14"/>
        <v>Active</v>
      </c>
      <c r="W68" t="str">
        <f t="shared" si="15"/>
        <v>Active</v>
      </c>
    </row>
    <row r="69" spans="2:23" hidden="1" x14ac:dyDescent="0.25">
      <c r="B69" s="3" t="s">
        <v>113</v>
      </c>
      <c r="C69" t="s">
        <v>13</v>
      </c>
      <c r="D69" t="s">
        <v>17</v>
      </c>
      <c r="E69" t="s">
        <v>269</v>
      </c>
      <c r="F69" t="s">
        <v>74</v>
      </c>
      <c r="G69" s="4">
        <v>43590</v>
      </c>
      <c r="H69" s="8">
        <v>51567</v>
      </c>
      <c r="J69">
        <v>87</v>
      </c>
      <c r="L69" t="s">
        <v>86</v>
      </c>
      <c r="M69" t="str">
        <f>VLOOKUP(F69,Lookup_Departments!A:B,2,0)</f>
        <v>Human Resources</v>
      </c>
      <c r="N69" s="11">
        <f t="shared" ca="1" si="8"/>
        <v>7.2</v>
      </c>
      <c r="O69" s="11" t="str">
        <f t="shared" si="9"/>
        <v>Exceeding</v>
      </c>
      <c r="P69" s="11" t="str">
        <f t="shared" si="10"/>
        <v>0.08</v>
      </c>
      <c r="Q69" s="6">
        <f t="shared" si="11"/>
        <v>4125.3599999999997</v>
      </c>
      <c r="R69" t="str">
        <f>UPPER(F69)</f>
        <v>HR01</v>
      </c>
      <c r="S69" t="str">
        <f t="shared" si="12"/>
        <v>HR01</v>
      </c>
      <c r="T69" t="s">
        <v>269</v>
      </c>
      <c r="U69" t="str">
        <f t="shared" si="13"/>
        <v>Richard Gonzalez</v>
      </c>
      <c r="V69" t="str">
        <f t="shared" si="14"/>
        <v>Resigned</v>
      </c>
      <c r="W69" t="str">
        <f t="shared" si="15"/>
        <v>Resigned</v>
      </c>
    </row>
    <row r="70" spans="2:23" x14ac:dyDescent="0.25">
      <c r="B70" s="3" t="s">
        <v>114</v>
      </c>
      <c r="C70" t="s">
        <v>79</v>
      </c>
      <c r="D70" t="s">
        <v>44</v>
      </c>
      <c r="E70" t="s">
        <v>270</v>
      </c>
      <c r="F70" t="s">
        <v>74</v>
      </c>
      <c r="G70" s="4">
        <v>44402</v>
      </c>
      <c r="H70" s="8">
        <v>83604</v>
      </c>
      <c r="J70">
        <v>36</v>
      </c>
      <c r="L70" t="s">
        <v>38</v>
      </c>
      <c r="M70" t="str">
        <f>VLOOKUP(F70,Lookup_Departments!A:B,2,0)</f>
        <v>Human Resources</v>
      </c>
      <c r="N70" s="11">
        <f t="shared" ca="1" si="8"/>
        <v>5</v>
      </c>
      <c r="O70" s="11" t="str">
        <f t="shared" si="9"/>
        <v>Needs Improvement</v>
      </c>
      <c r="P70" s="11" t="str">
        <f t="shared" si="10"/>
        <v>0</v>
      </c>
      <c r="Q70" s="6">
        <f t="shared" si="11"/>
        <v>0</v>
      </c>
      <c r="R70" t="str">
        <f>UPPER(F70)</f>
        <v>HR01</v>
      </c>
      <c r="S70" t="str">
        <f t="shared" si="12"/>
        <v>HR01</v>
      </c>
      <c r="T70" t="s">
        <v>270</v>
      </c>
      <c r="U70" t="str">
        <f t="shared" si="13"/>
        <v>Melissa Williams</v>
      </c>
      <c r="V70" t="str">
        <f t="shared" si="14"/>
        <v>Active</v>
      </c>
      <c r="W70" t="str">
        <f t="shared" si="15"/>
        <v>Active</v>
      </c>
    </row>
    <row r="71" spans="2:23" x14ac:dyDescent="0.25">
      <c r="B71" s="3" t="s">
        <v>115</v>
      </c>
      <c r="C71" t="s">
        <v>47</v>
      </c>
      <c r="D71" t="s">
        <v>40</v>
      </c>
      <c r="E71" t="s">
        <v>265</v>
      </c>
      <c r="F71" t="s">
        <v>74</v>
      </c>
      <c r="G71" s="4">
        <v>43008</v>
      </c>
      <c r="H71" s="8">
        <v>55270</v>
      </c>
      <c r="J71">
        <v>87</v>
      </c>
      <c r="L71" t="s">
        <v>38</v>
      </c>
      <c r="M71" t="str">
        <f>VLOOKUP(F71,Lookup_Departments!A:B,2,0)</f>
        <v>Human Resources</v>
      </c>
      <c r="N71" s="11">
        <f t="shared" ca="1" si="8"/>
        <v>8.8000000000000007</v>
      </c>
      <c r="O71" s="11" t="str">
        <f t="shared" si="9"/>
        <v>Exceeding</v>
      </c>
      <c r="P71" s="11" t="str">
        <f t="shared" si="10"/>
        <v>0.08</v>
      </c>
      <c r="Q71" s="6">
        <f t="shared" si="11"/>
        <v>4421.6000000000004</v>
      </c>
      <c r="R71" t="str">
        <f>UPPER(F71)</f>
        <v>HR01</v>
      </c>
      <c r="S71" t="str">
        <f t="shared" si="12"/>
        <v>HR01</v>
      </c>
      <c r="T71" t="s">
        <v>265</v>
      </c>
      <c r="U71" t="str">
        <f t="shared" si="13"/>
        <v>Robert Miller</v>
      </c>
      <c r="V71" t="str">
        <f t="shared" si="14"/>
        <v>Active</v>
      </c>
      <c r="W71" t="str">
        <f t="shared" si="15"/>
        <v>Active</v>
      </c>
    </row>
    <row r="72" spans="2:23" x14ac:dyDescent="0.25">
      <c r="B72" s="3" t="s">
        <v>116</v>
      </c>
      <c r="C72" t="s">
        <v>117</v>
      </c>
      <c r="D72" t="s">
        <v>99</v>
      </c>
      <c r="E72" t="s">
        <v>271</v>
      </c>
      <c r="F72" t="s">
        <v>37</v>
      </c>
      <c r="G72" s="4">
        <v>42192</v>
      </c>
      <c r="H72" s="8">
        <v>65235</v>
      </c>
      <c r="J72">
        <v>97</v>
      </c>
      <c r="L72" t="s">
        <v>38</v>
      </c>
      <c r="M72" t="str">
        <f>VLOOKUP(F72,Lookup_Departments!A:B,2,0)</f>
        <v>Sales</v>
      </c>
      <c r="N72" s="11">
        <f t="shared" ca="1" si="8"/>
        <v>11</v>
      </c>
      <c r="O72" s="11" t="str">
        <f t="shared" si="9"/>
        <v>Outstanding</v>
      </c>
      <c r="P72" s="11" t="str">
        <f t="shared" si="10"/>
        <v>0.12</v>
      </c>
      <c r="Q72" s="6">
        <f t="shared" si="11"/>
        <v>7828.2</v>
      </c>
      <c r="R72" t="str">
        <f>UPPER(F72)</f>
        <v>SAL05</v>
      </c>
      <c r="S72" t="str">
        <f t="shared" si="12"/>
        <v>SAL05</v>
      </c>
      <c r="T72" t="s">
        <v>271</v>
      </c>
      <c r="U72" t="str">
        <f t="shared" si="13"/>
        <v>William Garcia</v>
      </c>
      <c r="V72" t="str">
        <f t="shared" si="14"/>
        <v>Active</v>
      </c>
      <c r="W72" t="str">
        <f t="shared" si="15"/>
        <v>Active</v>
      </c>
    </row>
    <row r="73" spans="2:23" hidden="1" x14ac:dyDescent="0.25">
      <c r="B73" s="3" t="s">
        <v>118</v>
      </c>
      <c r="C73" t="s">
        <v>19</v>
      </c>
      <c r="D73" t="s">
        <v>17</v>
      </c>
      <c r="E73" t="s">
        <v>272</v>
      </c>
      <c r="F73" t="s">
        <v>37</v>
      </c>
      <c r="G73" s="4">
        <v>43138</v>
      </c>
      <c r="H73" s="8">
        <v>83604</v>
      </c>
      <c r="J73">
        <v>72</v>
      </c>
      <c r="L73" t="s">
        <v>25</v>
      </c>
      <c r="M73" t="str">
        <f>VLOOKUP(F73,Lookup_Departments!A:B,2,0)</f>
        <v>Sales</v>
      </c>
      <c r="N73" s="11">
        <f t="shared" ca="1" si="8"/>
        <v>8.4</v>
      </c>
      <c r="O73" s="11" t="str">
        <f t="shared" si="9"/>
        <v>Achieving</v>
      </c>
      <c r="P73" s="11" t="str">
        <f t="shared" si="10"/>
        <v>0.05</v>
      </c>
      <c r="Q73" s="6">
        <f t="shared" si="11"/>
        <v>4180.2</v>
      </c>
      <c r="R73" t="str">
        <f>UPPER(F73)</f>
        <v>SAL05</v>
      </c>
      <c r="S73" t="str">
        <f t="shared" si="12"/>
        <v>SAL05</v>
      </c>
      <c r="T73" t="s">
        <v>272</v>
      </c>
      <c r="U73" t="str">
        <f t="shared" si="13"/>
        <v>John Gonzalez</v>
      </c>
      <c r="V73" t="str">
        <f t="shared" si="14"/>
        <v>Left</v>
      </c>
      <c r="W73" t="str">
        <f t="shared" si="15"/>
        <v>Left</v>
      </c>
    </row>
    <row r="74" spans="2:23" hidden="1" x14ac:dyDescent="0.25">
      <c r="B74" s="3" t="s">
        <v>119</v>
      </c>
      <c r="C74" t="s">
        <v>53</v>
      </c>
      <c r="D74" t="s">
        <v>17</v>
      </c>
      <c r="E74" t="s">
        <v>273</v>
      </c>
      <c r="F74" t="s">
        <v>37</v>
      </c>
      <c r="G74" s="4">
        <v>44819</v>
      </c>
      <c r="H74" s="8">
        <v>83604</v>
      </c>
      <c r="J74">
        <v>65</v>
      </c>
      <c r="L74" t="s">
        <v>25</v>
      </c>
      <c r="M74" t="str">
        <f>VLOOKUP(F74,Lookup_Departments!A:B,2,0)</f>
        <v>Sales</v>
      </c>
      <c r="N74" s="11">
        <f t="shared" ca="1" si="8"/>
        <v>3.8</v>
      </c>
      <c r="O74" s="11" t="str">
        <f t="shared" si="9"/>
        <v>Developing</v>
      </c>
      <c r="P74" s="11" t="str">
        <f t="shared" si="10"/>
        <v>0.02</v>
      </c>
      <c r="Q74" s="6">
        <f t="shared" si="11"/>
        <v>1672.08</v>
      </c>
      <c r="R74" t="str">
        <f>UPPER(F74)</f>
        <v>SAL05</v>
      </c>
      <c r="S74" t="str">
        <f t="shared" si="12"/>
        <v>SAL05</v>
      </c>
      <c r="T74" t="s">
        <v>273</v>
      </c>
      <c r="U74" t="str">
        <f t="shared" si="13"/>
        <v>James Gonzalez</v>
      </c>
      <c r="V74" t="str">
        <f t="shared" si="14"/>
        <v>Left</v>
      </c>
      <c r="W74" t="str">
        <f t="shared" si="15"/>
        <v>Left</v>
      </c>
    </row>
    <row r="75" spans="2:23" x14ac:dyDescent="0.25">
      <c r="B75" s="3" t="s">
        <v>120</v>
      </c>
      <c r="C75" t="s">
        <v>43</v>
      </c>
      <c r="D75" t="s">
        <v>17</v>
      </c>
      <c r="E75" t="s">
        <v>274</v>
      </c>
      <c r="F75" t="s">
        <v>37</v>
      </c>
      <c r="G75" s="4">
        <v>42044</v>
      </c>
      <c r="H75" s="8">
        <v>83604</v>
      </c>
      <c r="J75">
        <v>67</v>
      </c>
      <c r="L75" t="s">
        <v>38</v>
      </c>
      <c r="M75" t="str">
        <f>VLOOKUP(F75,Lookup_Departments!A:B,2,0)</f>
        <v>Sales</v>
      </c>
      <c r="N75" s="11">
        <f t="shared" ca="1" si="8"/>
        <v>11.4</v>
      </c>
      <c r="O75" s="11" t="str">
        <f t="shared" si="9"/>
        <v>Developing</v>
      </c>
      <c r="P75" s="11" t="str">
        <f t="shared" si="10"/>
        <v>0.02</v>
      </c>
      <c r="Q75" s="6">
        <f t="shared" si="11"/>
        <v>1672.08</v>
      </c>
      <c r="R75" t="str">
        <f>UPPER(F75)</f>
        <v>SAL05</v>
      </c>
      <c r="S75" t="str">
        <f t="shared" si="12"/>
        <v>SAL05</v>
      </c>
      <c r="T75" t="s">
        <v>274</v>
      </c>
      <c r="U75" t="str">
        <f t="shared" si="13"/>
        <v>Jane Gonzalez</v>
      </c>
      <c r="V75" t="str">
        <f t="shared" si="14"/>
        <v>Active</v>
      </c>
      <c r="W75" t="str">
        <f t="shared" si="15"/>
        <v>Active</v>
      </c>
    </row>
    <row r="76" spans="2:23" x14ac:dyDescent="0.25">
      <c r="B76" s="3" t="s">
        <v>121</v>
      </c>
      <c r="C76" t="s">
        <v>84</v>
      </c>
      <c r="D76" t="s">
        <v>30</v>
      </c>
      <c r="E76" t="s">
        <v>275</v>
      </c>
      <c r="F76" t="s">
        <v>28</v>
      </c>
      <c r="G76" s="4">
        <v>42684</v>
      </c>
      <c r="H76" s="8">
        <v>48823</v>
      </c>
      <c r="J76">
        <v>34</v>
      </c>
      <c r="L76" t="s">
        <v>38</v>
      </c>
      <c r="M76" t="str">
        <f>VLOOKUP(F76,Lookup_Departments!A:B,2,0)</f>
        <v>Operations</v>
      </c>
      <c r="N76" s="11">
        <f t="shared" ca="1" si="8"/>
        <v>9.6999999999999993</v>
      </c>
      <c r="O76" s="11" t="str">
        <f t="shared" si="9"/>
        <v>Needs Improvement</v>
      </c>
      <c r="P76" s="11" t="str">
        <f t="shared" si="10"/>
        <v>0</v>
      </c>
      <c r="Q76" s="6">
        <f t="shared" si="11"/>
        <v>0</v>
      </c>
      <c r="R76" t="str">
        <f>UPPER(F76)</f>
        <v>OPS06</v>
      </c>
      <c r="S76" t="str">
        <f t="shared" si="12"/>
        <v>OPS06</v>
      </c>
      <c r="T76" t="s">
        <v>275</v>
      </c>
      <c r="U76" t="str">
        <f t="shared" si="13"/>
        <v>David Wilson</v>
      </c>
      <c r="V76" t="str">
        <f t="shared" si="14"/>
        <v>Active</v>
      </c>
      <c r="W76" t="str">
        <f t="shared" si="15"/>
        <v>Active</v>
      </c>
    </row>
    <row r="77" spans="2:23" hidden="1" x14ac:dyDescent="0.25">
      <c r="B77" s="3" t="s">
        <v>122</v>
      </c>
      <c r="C77" t="s">
        <v>43</v>
      </c>
      <c r="D77" t="s">
        <v>17</v>
      </c>
      <c r="E77" t="s">
        <v>274</v>
      </c>
      <c r="F77" t="s">
        <v>21</v>
      </c>
      <c r="G77" s="4">
        <v>43575</v>
      </c>
      <c r="H77" s="8">
        <v>45196</v>
      </c>
      <c r="J77">
        <v>78</v>
      </c>
      <c r="L77" t="s">
        <v>25</v>
      </c>
      <c r="M77" t="str">
        <f>VLOOKUP(F77,Lookup_Departments!A:B,2,0)</f>
        <v>Finance</v>
      </c>
      <c r="N77" s="11">
        <f t="shared" ca="1" si="8"/>
        <v>7.2</v>
      </c>
      <c r="O77" s="11" t="str">
        <f t="shared" si="9"/>
        <v>Achieving</v>
      </c>
      <c r="P77" s="11" t="str">
        <f t="shared" si="10"/>
        <v>0.05</v>
      </c>
      <c r="Q77" s="6">
        <f t="shared" si="11"/>
        <v>2259.8000000000002</v>
      </c>
      <c r="R77" t="str">
        <f>UPPER(F77)</f>
        <v>FIN03</v>
      </c>
      <c r="S77" t="str">
        <f t="shared" si="12"/>
        <v>FIN03</v>
      </c>
      <c r="T77" t="s">
        <v>274</v>
      </c>
      <c r="U77" t="str">
        <f t="shared" si="13"/>
        <v>Jane Gonzalez</v>
      </c>
      <c r="V77" t="str">
        <f t="shared" si="14"/>
        <v>Left</v>
      </c>
      <c r="W77" t="str">
        <f t="shared" si="15"/>
        <v>Left</v>
      </c>
    </row>
    <row r="78" spans="2:23" x14ac:dyDescent="0.25">
      <c r="B78" s="3" t="s">
        <v>123</v>
      </c>
      <c r="C78" t="s">
        <v>43</v>
      </c>
      <c r="D78" t="s">
        <v>34</v>
      </c>
      <c r="E78" t="s">
        <v>276</v>
      </c>
      <c r="F78" t="s">
        <v>11</v>
      </c>
      <c r="G78" s="4">
        <v>42785</v>
      </c>
      <c r="H78" s="8">
        <v>86246</v>
      </c>
      <c r="J78">
        <v>61</v>
      </c>
      <c r="L78" t="s">
        <v>38</v>
      </c>
      <c r="M78" t="str">
        <f>VLOOKUP(F78,Lookup_Departments!A:B,2,0)</f>
        <v>Information Technology</v>
      </c>
      <c r="N78" s="11">
        <f t="shared" ca="1" si="8"/>
        <v>9.4</v>
      </c>
      <c r="O78" s="11" t="str">
        <f t="shared" si="9"/>
        <v>Developing</v>
      </c>
      <c r="P78" s="11" t="str">
        <f t="shared" si="10"/>
        <v>0.02</v>
      </c>
      <c r="Q78" s="6">
        <f t="shared" si="11"/>
        <v>1724.92</v>
      </c>
      <c r="R78" t="str">
        <f>UPPER(F78)</f>
        <v>IT02</v>
      </c>
      <c r="S78" t="str">
        <f t="shared" si="12"/>
        <v>IT02</v>
      </c>
      <c r="T78" t="s">
        <v>276</v>
      </c>
      <c r="U78" t="str">
        <f t="shared" si="13"/>
        <v>Jane Rodriguez</v>
      </c>
      <c r="V78" t="str">
        <f t="shared" si="14"/>
        <v>Active</v>
      </c>
      <c r="W78" t="str">
        <f t="shared" si="15"/>
        <v>Active</v>
      </c>
    </row>
    <row r="79" spans="2:23" hidden="1" x14ac:dyDescent="0.25">
      <c r="B79" s="3" t="s">
        <v>124</v>
      </c>
      <c r="C79" t="s">
        <v>9</v>
      </c>
      <c r="D79" t="s">
        <v>40</v>
      </c>
      <c r="E79" t="s">
        <v>223</v>
      </c>
      <c r="F79" t="s">
        <v>37</v>
      </c>
      <c r="G79" s="4">
        <v>44446</v>
      </c>
      <c r="H79" s="8">
        <v>70359</v>
      </c>
      <c r="J79">
        <v>74</v>
      </c>
      <c r="L79" t="s">
        <v>25</v>
      </c>
      <c r="M79" t="str">
        <f>VLOOKUP(F79,Lookup_Departments!A:B,2,0)</f>
        <v>Sales</v>
      </c>
      <c r="N79" s="11">
        <f t="shared" ca="1" si="8"/>
        <v>4.8</v>
      </c>
      <c r="O79" s="11" t="str">
        <f t="shared" si="9"/>
        <v>Achieving</v>
      </c>
      <c r="P79" s="11" t="str">
        <f t="shared" si="10"/>
        <v>0.05</v>
      </c>
      <c r="Q79" s="6">
        <f t="shared" si="11"/>
        <v>3517.9500000000003</v>
      </c>
      <c r="R79" t="str">
        <f>UPPER(F79)</f>
        <v>SAL05</v>
      </c>
      <c r="S79" t="str">
        <f t="shared" si="12"/>
        <v>SAL05</v>
      </c>
      <c r="T79" t="s">
        <v>223</v>
      </c>
      <c r="U79" t="str">
        <f t="shared" si="13"/>
        <v>Emily Miller</v>
      </c>
      <c r="V79" t="str">
        <f t="shared" si="14"/>
        <v>Left</v>
      </c>
      <c r="W79" t="str">
        <f t="shared" si="15"/>
        <v>Left</v>
      </c>
    </row>
    <row r="80" spans="2:23" x14ac:dyDescent="0.25">
      <c r="B80" s="3" t="s">
        <v>125</v>
      </c>
      <c r="C80" t="s">
        <v>72</v>
      </c>
      <c r="D80" t="s">
        <v>40</v>
      </c>
      <c r="E80" t="s">
        <v>246</v>
      </c>
      <c r="F80" t="s">
        <v>15</v>
      </c>
      <c r="G80" s="4">
        <v>43599</v>
      </c>
      <c r="H80" s="8">
        <v>83604</v>
      </c>
      <c r="J80">
        <v>94</v>
      </c>
      <c r="L80" t="s">
        <v>38</v>
      </c>
      <c r="M80" t="str">
        <f>VLOOKUP(F80,Lookup_Departments!A:B,2,0)</f>
        <v>Marketing</v>
      </c>
      <c r="N80" s="11">
        <f t="shared" ca="1" si="8"/>
        <v>7.2</v>
      </c>
      <c r="O80" s="11" t="str">
        <f t="shared" si="9"/>
        <v>Exceeding</v>
      </c>
      <c r="P80" s="11" t="str">
        <f t="shared" si="10"/>
        <v>0.08</v>
      </c>
      <c r="Q80" s="6">
        <f t="shared" si="11"/>
        <v>6688.32</v>
      </c>
      <c r="R80" t="str">
        <f>UPPER(F80)</f>
        <v>MKT04</v>
      </c>
      <c r="S80" t="str">
        <f t="shared" si="12"/>
        <v>MKT04</v>
      </c>
      <c r="T80" t="s">
        <v>246</v>
      </c>
      <c r="U80" t="str">
        <f t="shared" si="13"/>
        <v>Sarah Miller</v>
      </c>
      <c r="V80" t="str">
        <f t="shared" si="14"/>
        <v>Active</v>
      </c>
      <c r="W80" t="str">
        <f t="shared" si="15"/>
        <v>Active</v>
      </c>
    </row>
    <row r="81" spans="2:23" x14ac:dyDescent="0.25">
      <c r="B81" s="3" t="s">
        <v>126</v>
      </c>
      <c r="C81" t="s">
        <v>32</v>
      </c>
      <c r="D81" t="s">
        <v>99</v>
      </c>
      <c r="E81" t="s">
        <v>277</v>
      </c>
      <c r="F81" t="s">
        <v>28</v>
      </c>
      <c r="G81" s="4">
        <v>42330</v>
      </c>
      <c r="H81" s="8">
        <v>86480</v>
      </c>
      <c r="J81">
        <v>68</v>
      </c>
      <c r="L81" t="s">
        <v>38</v>
      </c>
      <c r="M81" t="str">
        <f>VLOOKUP(F81,Lookup_Departments!A:B,2,0)</f>
        <v>Operations</v>
      </c>
      <c r="N81" s="11">
        <f t="shared" ca="1" si="8"/>
        <v>10.6</v>
      </c>
      <c r="O81" s="11" t="str">
        <f t="shared" si="9"/>
        <v>Developing</v>
      </c>
      <c r="P81" s="11" t="str">
        <f t="shared" si="10"/>
        <v>0.02</v>
      </c>
      <c r="Q81" s="6">
        <f t="shared" si="11"/>
        <v>1729.6000000000001</v>
      </c>
      <c r="R81" t="str">
        <f>UPPER(F81)</f>
        <v>OPS06</v>
      </c>
      <c r="S81" t="str">
        <f t="shared" si="12"/>
        <v>OPS06</v>
      </c>
      <c r="T81" t="s">
        <v>277</v>
      </c>
      <c r="U81" t="str">
        <f t="shared" si="13"/>
        <v>Jessica Garcia</v>
      </c>
      <c r="V81" t="str">
        <f t="shared" si="14"/>
        <v>Active</v>
      </c>
      <c r="W81" t="str">
        <f t="shared" si="15"/>
        <v>Active</v>
      </c>
    </row>
    <row r="82" spans="2:23" x14ac:dyDescent="0.25">
      <c r="B82" s="3" t="s">
        <v>127</v>
      </c>
      <c r="C82" t="s">
        <v>13</v>
      </c>
      <c r="D82" t="s">
        <v>24</v>
      </c>
      <c r="E82" t="s">
        <v>278</v>
      </c>
      <c r="F82" t="s">
        <v>74</v>
      </c>
      <c r="G82" s="4">
        <v>43372</v>
      </c>
      <c r="H82" s="8">
        <v>47694</v>
      </c>
      <c r="J82">
        <v>75</v>
      </c>
      <c r="L82" t="s">
        <v>38</v>
      </c>
      <c r="M82" t="str">
        <f>VLOOKUP(F82,Lookup_Departments!A:B,2,0)</f>
        <v>Human Resources</v>
      </c>
      <c r="N82" s="11">
        <f t="shared" ca="1" si="8"/>
        <v>7.8</v>
      </c>
      <c r="O82" s="11" t="str">
        <f t="shared" si="9"/>
        <v>Achieving</v>
      </c>
      <c r="P82" s="11" t="str">
        <f t="shared" si="10"/>
        <v>0.05</v>
      </c>
      <c r="Q82" s="6">
        <f t="shared" si="11"/>
        <v>2384.7000000000003</v>
      </c>
      <c r="R82" t="str">
        <f>UPPER(F82)</f>
        <v>HR01</v>
      </c>
      <c r="S82" t="str">
        <f t="shared" si="12"/>
        <v>HR01</v>
      </c>
      <c r="T82" t="s">
        <v>278</v>
      </c>
      <c r="U82" t="str">
        <f t="shared" si="13"/>
        <v>Richard Smith</v>
      </c>
      <c r="V82" t="str">
        <f t="shared" si="14"/>
        <v>Active</v>
      </c>
      <c r="W82" t="str">
        <f t="shared" si="15"/>
        <v>Active</v>
      </c>
    </row>
    <row r="83" spans="2:23" hidden="1" x14ac:dyDescent="0.25">
      <c r="B83" s="3" t="s">
        <v>128</v>
      </c>
      <c r="C83" t="s">
        <v>79</v>
      </c>
      <c r="D83" t="s">
        <v>30</v>
      </c>
      <c r="E83" t="s">
        <v>279</v>
      </c>
      <c r="F83" t="s">
        <v>11</v>
      </c>
      <c r="G83" s="4">
        <v>44966</v>
      </c>
      <c r="H83" s="8">
        <v>83724</v>
      </c>
      <c r="J83">
        <v>81</v>
      </c>
      <c r="L83" t="s">
        <v>86</v>
      </c>
      <c r="M83" t="str">
        <f>VLOOKUP(F83,Lookup_Departments!A:B,2,0)</f>
        <v>Information Technology</v>
      </c>
      <c r="N83" s="11">
        <f t="shared" ca="1" si="8"/>
        <v>3.4</v>
      </c>
      <c r="O83" s="11" t="str">
        <f t="shared" si="9"/>
        <v>Achieving</v>
      </c>
      <c r="P83" s="11" t="str">
        <f t="shared" si="10"/>
        <v>0.05</v>
      </c>
      <c r="Q83" s="6">
        <f t="shared" si="11"/>
        <v>4186.2</v>
      </c>
      <c r="R83" t="str">
        <f>UPPER(F83)</f>
        <v>IT02</v>
      </c>
      <c r="S83" t="str">
        <f t="shared" si="12"/>
        <v>IT02</v>
      </c>
      <c r="T83" t="s">
        <v>279</v>
      </c>
      <c r="U83" t="str">
        <f t="shared" si="13"/>
        <v>Melissa Wilson</v>
      </c>
      <c r="V83" t="str">
        <f t="shared" si="14"/>
        <v>Resigned</v>
      </c>
      <c r="W83" t="str">
        <f t="shared" si="15"/>
        <v>Resigned</v>
      </c>
    </row>
    <row r="84" spans="2:23" x14ac:dyDescent="0.25">
      <c r="B84" s="3" t="s">
        <v>129</v>
      </c>
      <c r="C84" t="s">
        <v>23</v>
      </c>
      <c r="D84" t="s">
        <v>44</v>
      </c>
      <c r="E84" t="s">
        <v>280</v>
      </c>
      <c r="F84" t="s">
        <v>21</v>
      </c>
      <c r="G84" s="4">
        <v>44759</v>
      </c>
      <c r="H84" s="8">
        <v>98299</v>
      </c>
      <c r="J84">
        <v>61</v>
      </c>
      <c r="L84" t="s">
        <v>38</v>
      </c>
      <c r="M84" t="str">
        <f>VLOOKUP(F84,Lookup_Departments!A:B,2,0)</f>
        <v>Finance</v>
      </c>
      <c r="N84" s="11">
        <f t="shared" ca="1" si="8"/>
        <v>4</v>
      </c>
      <c r="O84" s="11" t="str">
        <f t="shared" si="9"/>
        <v>Developing</v>
      </c>
      <c r="P84" s="11" t="str">
        <f t="shared" si="10"/>
        <v>0.02</v>
      </c>
      <c r="Q84" s="6">
        <f t="shared" si="11"/>
        <v>1965.98</v>
      </c>
      <c r="R84" t="str">
        <f>UPPER(F84)</f>
        <v>FIN03</v>
      </c>
      <c r="S84" t="str">
        <f t="shared" si="12"/>
        <v>FIN03</v>
      </c>
      <c r="T84" t="s">
        <v>280</v>
      </c>
      <c r="U84" t="str">
        <f t="shared" si="13"/>
        <v>Thomas Williams</v>
      </c>
      <c r="V84" t="str">
        <f t="shared" si="14"/>
        <v>Active</v>
      </c>
      <c r="W84" t="str">
        <f t="shared" si="15"/>
        <v>Active</v>
      </c>
    </row>
    <row r="85" spans="2:23" x14ac:dyDescent="0.25">
      <c r="B85" s="3" t="s">
        <v>130</v>
      </c>
      <c r="C85" t="s">
        <v>84</v>
      </c>
      <c r="D85" t="s">
        <v>44</v>
      </c>
      <c r="E85" t="s">
        <v>281</v>
      </c>
      <c r="F85" t="s">
        <v>21</v>
      </c>
      <c r="G85" s="4">
        <v>44379</v>
      </c>
      <c r="H85" s="8">
        <v>83604</v>
      </c>
      <c r="J85">
        <v>68</v>
      </c>
      <c r="L85" t="s">
        <v>38</v>
      </c>
      <c r="M85" t="str">
        <f>VLOOKUP(F85,Lookup_Departments!A:B,2,0)</f>
        <v>Finance</v>
      </c>
      <c r="N85" s="11">
        <f t="shared" ca="1" si="8"/>
        <v>5</v>
      </c>
      <c r="O85" s="11" t="str">
        <f t="shared" si="9"/>
        <v>Developing</v>
      </c>
      <c r="P85" s="11" t="str">
        <f t="shared" si="10"/>
        <v>0.02</v>
      </c>
      <c r="Q85" s="6">
        <f t="shared" si="11"/>
        <v>1672.08</v>
      </c>
      <c r="R85" t="str">
        <f>UPPER(F85)</f>
        <v>FIN03</v>
      </c>
      <c r="S85" t="str">
        <f t="shared" si="12"/>
        <v>FIN03</v>
      </c>
      <c r="T85" t="s">
        <v>281</v>
      </c>
      <c r="U85" t="str">
        <f t="shared" si="13"/>
        <v>David Williams</v>
      </c>
      <c r="V85" t="str">
        <f t="shared" si="14"/>
        <v>Active</v>
      </c>
      <c r="W85" t="str">
        <f t="shared" si="15"/>
        <v>Active</v>
      </c>
    </row>
    <row r="86" spans="2:23" x14ac:dyDescent="0.25">
      <c r="B86" s="3" t="s">
        <v>131</v>
      </c>
      <c r="C86" t="s">
        <v>19</v>
      </c>
      <c r="D86" t="s">
        <v>27</v>
      </c>
      <c r="E86" t="s">
        <v>282</v>
      </c>
      <c r="F86" t="s">
        <v>11</v>
      </c>
      <c r="G86" s="4">
        <v>45203</v>
      </c>
      <c r="H86" s="8">
        <v>52287</v>
      </c>
      <c r="J86">
        <v>70</v>
      </c>
      <c r="L86" t="s">
        <v>38</v>
      </c>
      <c r="M86" t="str">
        <f>VLOOKUP(F86,Lookup_Departments!A:B,2,0)</f>
        <v>Information Technology</v>
      </c>
      <c r="N86" s="11">
        <f t="shared" ca="1" si="8"/>
        <v>2.8</v>
      </c>
      <c r="O86" s="11" t="str">
        <f t="shared" si="9"/>
        <v>Developing</v>
      </c>
      <c r="P86" s="11" t="str">
        <f t="shared" si="10"/>
        <v>0.02</v>
      </c>
      <c r="Q86" s="6">
        <f t="shared" si="11"/>
        <v>1045.74</v>
      </c>
      <c r="R86" t="str">
        <f>UPPER(F86)</f>
        <v>IT02</v>
      </c>
      <c r="S86" t="str">
        <f t="shared" si="12"/>
        <v>IT02</v>
      </c>
      <c r="T86" t="s">
        <v>282</v>
      </c>
      <c r="U86" t="str">
        <f t="shared" si="13"/>
        <v>John Johnson</v>
      </c>
      <c r="V86" t="str">
        <f t="shared" si="14"/>
        <v>Active</v>
      </c>
      <c r="W86" t="str">
        <f t="shared" si="15"/>
        <v>Active</v>
      </c>
    </row>
    <row r="87" spans="2:23" x14ac:dyDescent="0.25">
      <c r="B87" s="3" t="s">
        <v>132</v>
      </c>
      <c r="C87" t="s">
        <v>13</v>
      </c>
      <c r="D87" t="s">
        <v>17</v>
      </c>
      <c r="E87" t="s">
        <v>269</v>
      </c>
      <c r="F87" t="s">
        <v>11</v>
      </c>
      <c r="G87" s="4">
        <v>44073</v>
      </c>
      <c r="H87" s="8">
        <v>82633</v>
      </c>
      <c r="J87">
        <v>98</v>
      </c>
      <c r="L87" t="s">
        <v>38</v>
      </c>
      <c r="M87" t="str">
        <f>VLOOKUP(F87,Lookup_Departments!A:B,2,0)</f>
        <v>Information Technology</v>
      </c>
      <c r="N87" s="11">
        <f t="shared" ca="1" si="8"/>
        <v>5.9</v>
      </c>
      <c r="O87" s="11" t="str">
        <f t="shared" si="9"/>
        <v>Outstanding</v>
      </c>
      <c r="P87" s="11" t="str">
        <f t="shared" si="10"/>
        <v>0.12</v>
      </c>
      <c r="Q87" s="6">
        <f t="shared" si="11"/>
        <v>9915.9599999999991</v>
      </c>
      <c r="R87" t="str">
        <f>UPPER(F87)</f>
        <v>IT02</v>
      </c>
      <c r="S87" t="str">
        <f t="shared" si="12"/>
        <v>IT02</v>
      </c>
      <c r="T87" t="s">
        <v>269</v>
      </c>
      <c r="U87" t="str">
        <f t="shared" si="13"/>
        <v>Richard Gonzalez</v>
      </c>
      <c r="V87" t="str">
        <f t="shared" si="14"/>
        <v>Active</v>
      </c>
      <c r="W87" t="str">
        <f t="shared" si="15"/>
        <v>Active</v>
      </c>
    </row>
    <row r="88" spans="2:23" x14ac:dyDescent="0.25">
      <c r="B88" s="3" t="s">
        <v>133</v>
      </c>
      <c r="C88" t="s">
        <v>79</v>
      </c>
      <c r="D88" t="s">
        <v>101</v>
      </c>
      <c r="E88" t="s">
        <v>283</v>
      </c>
      <c r="F88" t="s">
        <v>28</v>
      </c>
      <c r="G88" s="4">
        <v>44422</v>
      </c>
      <c r="H88" s="8">
        <v>46508</v>
      </c>
      <c r="J88">
        <v>34</v>
      </c>
      <c r="L88" t="s">
        <v>38</v>
      </c>
      <c r="M88" t="str">
        <f>VLOOKUP(F88,Lookup_Departments!A:B,2,0)</f>
        <v>Operations</v>
      </c>
      <c r="N88" s="11">
        <f t="shared" ca="1" si="8"/>
        <v>4.9000000000000004</v>
      </c>
      <c r="O88" s="11" t="str">
        <f t="shared" si="9"/>
        <v>Needs Improvement</v>
      </c>
      <c r="P88" s="11" t="str">
        <f t="shared" si="10"/>
        <v>0</v>
      </c>
      <c r="Q88" s="6">
        <f t="shared" si="11"/>
        <v>0</v>
      </c>
      <c r="R88" t="str">
        <f>UPPER(F88)</f>
        <v>OPS06</v>
      </c>
      <c r="S88" t="str">
        <f t="shared" si="12"/>
        <v>OPS06</v>
      </c>
      <c r="T88" t="s">
        <v>283</v>
      </c>
      <c r="U88" t="str">
        <f t="shared" si="13"/>
        <v>Melissa Anderson</v>
      </c>
      <c r="V88" t="str">
        <f t="shared" si="14"/>
        <v>Active</v>
      </c>
      <c r="W88" t="str">
        <f t="shared" si="15"/>
        <v>Active</v>
      </c>
    </row>
    <row r="89" spans="2:23" x14ac:dyDescent="0.25">
      <c r="B89" s="3" t="s">
        <v>134</v>
      </c>
      <c r="C89" t="s">
        <v>9</v>
      </c>
      <c r="D89" t="s">
        <v>17</v>
      </c>
      <c r="E89" t="s">
        <v>216</v>
      </c>
      <c r="F89" t="s">
        <v>74</v>
      </c>
      <c r="G89" s="4">
        <v>43796</v>
      </c>
      <c r="H89" s="8">
        <v>86232</v>
      </c>
      <c r="J89">
        <v>93</v>
      </c>
      <c r="L89" t="s">
        <v>38</v>
      </c>
      <c r="M89" t="str">
        <f>VLOOKUP(F89,Lookup_Departments!A:B,2,0)</f>
        <v>Human Resources</v>
      </c>
      <c r="N89" s="11">
        <f t="shared" ca="1" si="8"/>
        <v>6.6</v>
      </c>
      <c r="O89" s="11" t="str">
        <f t="shared" si="9"/>
        <v>Exceeding</v>
      </c>
      <c r="P89" s="11" t="str">
        <f t="shared" si="10"/>
        <v>0.08</v>
      </c>
      <c r="Q89" s="6">
        <f t="shared" si="11"/>
        <v>6898.56</v>
      </c>
      <c r="R89" t="str">
        <f>UPPER(F89)</f>
        <v>HR01</v>
      </c>
      <c r="S89" t="str">
        <f t="shared" si="12"/>
        <v>HR01</v>
      </c>
      <c r="T89" t="s">
        <v>216</v>
      </c>
      <c r="U89" t="str">
        <f t="shared" si="13"/>
        <v>Emily Gonzalez</v>
      </c>
      <c r="V89" t="str">
        <f t="shared" si="14"/>
        <v>Active</v>
      </c>
      <c r="W89" t="str">
        <f t="shared" si="15"/>
        <v>Active</v>
      </c>
    </row>
    <row r="90" spans="2:23" x14ac:dyDescent="0.25">
      <c r="B90" s="3" t="s">
        <v>135</v>
      </c>
      <c r="C90" t="s">
        <v>43</v>
      </c>
      <c r="D90" t="s">
        <v>51</v>
      </c>
      <c r="E90" t="s">
        <v>257</v>
      </c>
      <c r="F90" t="s">
        <v>11</v>
      </c>
      <c r="G90" s="4">
        <v>42880</v>
      </c>
      <c r="H90" s="8">
        <v>77545</v>
      </c>
      <c r="J90">
        <v>48</v>
      </c>
      <c r="L90" t="s">
        <v>38</v>
      </c>
      <c r="M90" t="str">
        <f>VLOOKUP(F90,Lookup_Departments!A:B,2,0)</f>
        <v>Information Technology</v>
      </c>
      <c r="N90" s="11">
        <f t="shared" ca="1" si="8"/>
        <v>9.1</v>
      </c>
      <c r="O90" s="11" t="str">
        <f t="shared" si="9"/>
        <v>Needs Improvement</v>
      </c>
      <c r="P90" s="11" t="str">
        <f t="shared" si="10"/>
        <v>0</v>
      </c>
      <c r="Q90" s="6">
        <f t="shared" si="11"/>
        <v>0</v>
      </c>
      <c r="R90" t="str">
        <f>UPPER(F90)</f>
        <v>IT02</v>
      </c>
      <c r="S90" t="str">
        <f t="shared" si="12"/>
        <v>IT02</v>
      </c>
      <c r="T90" t="s">
        <v>257</v>
      </c>
      <c r="U90" t="str">
        <f t="shared" si="13"/>
        <v>Jane Davis</v>
      </c>
      <c r="V90" t="str">
        <f t="shared" si="14"/>
        <v>Active</v>
      </c>
      <c r="W90" t="str">
        <f t="shared" si="15"/>
        <v>Active</v>
      </c>
    </row>
    <row r="91" spans="2:23" x14ac:dyDescent="0.25">
      <c r="B91" s="3" t="s">
        <v>136</v>
      </c>
      <c r="C91" t="s">
        <v>117</v>
      </c>
      <c r="D91" t="s">
        <v>17</v>
      </c>
      <c r="E91" t="s">
        <v>284</v>
      </c>
      <c r="F91" t="s">
        <v>28</v>
      </c>
      <c r="G91" s="4">
        <v>43143</v>
      </c>
      <c r="H91" s="8">
        <v>68683</v>
      </c>
      <c r="J91">
        <v>90</v>
      </c>
      <c r="L91" t="s">
        <v>38</v>
      </c>
      <c r="M91" t="str">
        <f>VLOOKUP(F91,Lookup_Departments!A:B,2,0)</f>
        <v>Operations</v>
      </c>
      <c r="N91" s="11">
        <f t="shared" ca="1" si="8"/>
        <v>8.4</v>
      </c>
      <c r="O91" s="11" t="str">
        <f t="shared" si="9"/>
        <v>Exceeding</v>
      </c>
      <c r="P91" s="11" t="str">
        <f t="shared" si="10"/>
        <v>0.08</v>
      </c>
      <c r="Q91" s="6">
        <f t="shared" si="11"/>
        <v>5494.64</v>
      </c>
      <c r="R91" t="str">
        <f>UPPER(F91)</f>
        <v>OPS06</v>
      </c>
      <c r="S91" t="str">
        <f t="shared" si="12"/>
        <v>OPS06</v>
      </c>
      <c r="T91" t="s">
        <v>284</v>
      </c>
      <c r="U91" t="str">
        <f t="shared" si="13"/>
        <v>William Gonzalez</v>
      </c>
      <c r="V91" t="str">
        <f t="shared" si="14"/>
        <v>Active</v>
      </c>
      <c r="W91" t="str">
        <f t="shared" si="15"/>
        <v>Active</v>
      </c>
    </row>
    <row r="92" spans="2:23" hidden="1" x14ac:dyDescent="0.25">
      <c r="B92" s="3" t="s">
        <v>137</v>
      </c>
      <c r="C92" t="s">
        <v>23</v>
      </c>
      <c r="D92" t="s">
        <v>48</v>
      </c>
      <c r="E92" t="s">
        <v>267</v>
      </c>
      <c r="F92" t="s">
        <v>21</v>
      </c>
      <c r="G92" s="4">
        <v>43639</v>
      </c>
      <c r="H92" s="8">
        <v>83932</v>
      </c>
      <c r="J92">
        <v>57</v>
      </c>
      <c r="L92" t="s">
        <v>25</v>
      </c>
      <c r="M92" t="str">
        <f>VLOOKUP(F92,Lookup_Departments!A:B,2,0)</f>
        <v>Finance</v>
      </c>
      <c r="N92" s="11">
        <f t="shared" ca="1" si="8"/>
        <v>7</v>
      </c>
      <c r="O92" s="11" t="str">
        <f t="shared" si="9"/>
        <v>Developing</v>
      </c>
      <c r="P92" s="11" t="str">
        <f t="shared" si="10"/>
        <v>0.02</v>
      </c>
      <c r="Q92" s="6">
        <f t="shared" si="11"/>
        <v>1678.64</v>
      </c>
      <c r="R92" t="str">
        <f>UPPER(F92)</f>
        <v>FIN03</v>
      </c>
      <c r="S92" t="str">
        <f t="shared" si="12"/>
        <v>FIN03</v>
      </c>
      <c r="T92" t="s">
        <v>267</v>
      </c>
      <c r="U92" t="str">
        <f t="shared" si="13"/>
        <v>Thomas Jones</v>
      </c>
      <c r="V92" t="str">
        <f t="shared" si="14"/>
        <v>Left</v>
      </c>
      <c r="W92" t="str">
        <f t="shared" si="15"/>
        <v>Left</v>
      </c>
    </row>
    <row r="93" spans="2:23" x14ac:dyDescent="0.25">
      <c r="B93" s="3" t="s">
        <v>138</v>
      </c>
      <c r="C93" t="s">
        <v>32</v>
      </c>
      <c r="D93" t="s">
        <v>101</v>
      </c>
      <c r="E93" t="s">
        <v>285</v>
      </c>
      <c r="F93" t="s">
        <v>74</v>
      </c>
      <c r="G93" s="4">
        <v>42304</v>
      </c>
      <c r="H93" s="8">
        <v>56073</v>
      </c>
      <c r="J93">
        <v>79</v>
      </c>
      <c r="L93" t="s">
        <v>38</v>
      </c>
      <c r="M93" t="str">
        <f>VLOOKUP(F93,Lookup_Departments!A:B,2,0)</f>
        <v>Human Resources</v>
      </c>
      <c r="N93" s="11">
        <f t="shared" ca="1" si="8"/>
        <v>10.7</v>
      </c>
      <c r="O93" s="11" t="str">
        <f t="shared" si="9"/>
        <v>Achieving</v>
      </c>
      <c r="P93" s="11" t="str">
        <f t="shared" si="10"/>
        <v>0.05</v>
      </c>
      <c r="Q93" s="6">
        <f t="shared" si="11"/>
        <v>2803.65</v>
      </c>
      <c r="R93" t="str">
        <f>UPPER(F93)</f>
        <v>HR01</v>
      </c>
      <c r="S93" t="str">
        <f t="shared" si="12"/>
        <v>HR01</v>
      </c>
      <c r="T93" t="s">
        <v>285</v>
      </c>
      <c r="U93" t="str">
        <f t="shared" si="13"/>
        <v>Jessica Anderson</v>
      </c>
      <c r="V93" t="str">
        <f t="shared" si="14"/>
        <v>Active</v>
      </c>
      <c r="W93" t="str">
        <f t="shared" si="15"/>
        <v>Active</v>
      </c>
    </row>
    <row r="94" spans="2:23" x14ac:dyDescent="0.25">
      <c r="B94" s="3" t="s">
        <v>139</v>
      </c>
      <c r="C94" t="s">
        <v>79</v>
      </c>
      <c r="D94" t="s">
        <v>27</v>
      </c>
      <c r="E94" t="s">
        <v>253</v>
      </c>
      <c r="F94" t="s">
        <v>11</v>
      </c>
      <c r="G94" s="4">
        <v>43270</v>
      </c>
      <c r="H94" s="8">
        <v>88056</v>
      </c>
      <c r="J94">
        <v>66</v>
      </c>
      <c r="L94" t="s">
        <v>38</v>
      </c>
      <c r="M94" t="str">
        <f>VLOOKUP(F94,Lookup_Departments!A:B,2,0)</f>
        <v>Information Technology</v>
      </c>
      <c r="N94" s="11">
        <f t="shared" ca="1" si="8"/>
        <v>8.1</v>
      </c>
      <c r="O94" s="11" t="str">
        <f t="shared" si="9"/>
        <v>Developing</v>
      </c>
      <c r="P94" s="11" t="str">
        <f t="shared" si="10"/>
        <v>0.02</v>
      </c>
      <c r="Q94" s="6">
        <f t="shared" si="11"/>
        <v>1761.1200000000001</v>
      </c>
      <c r="R94" t="str">
        <f>UPPER(F94)</f>
        <v>IT02</v>
      </c>
      <c r="S94" t="str">
        <f t="shared" si="12"/>
        <v>IT02</v>
      </c>
      <c r="T94" t="s">
        <v>253</v>
      </c>
      <c r="U94" t="str">
        <f t="shared" si="13"/>
        <v>Melissa Johnson</v>
      </c>
      <c r="V94" t="str">
        <f t="shared" si="14"/>
        <v>Active</v>
      </c>
      <c r="W94" t="str">
        <f t="shared" si="15"/>
        <v>Active</v>
      </c>
    </row>
    <row r="95" spans="2:23" hidden="1" x14ac:dyDescent="0.25">
      <c r="B95" s="3" t="s">
        <v>140</v>
      </c>
      <c r="C95" t="s">
        <v>23</v>
      </c>
      <c r="D95" t="s">
        <v>40</v>
      </c>
      <c r="E95" t="s">
        <v>286</v>
      </c>
      <c r="F95" t="s">
        <v>28</v>
      </c>
      <c r="G95" s="4">
        <v>43435</v>
      </c>
      <c r="H95" s="8">
        <v>67414</v>
      </c>
      <c r="J95">
        <v>84</v>
      </c>
      <c r="L95" t="s">
        <v>25</v>
      </c>
      <c r="M95" t="str">
        <f>VLOOKUP(F95,Lookup_Departments!A:B,2,0)</f>
        <v>Operations</v>
      </c>
      <c r="N95" s="11">
        <f t="shared" ca="1" si="8"/>
        <v>7.6</v>
      </c>
      <c r="O95" s="11" t="str">
        <f t="shared" si="9"/>
        <v>Achieving</v>
      </c>
      <c r="P95" s="11" t="str">
        <f t="shared" si="10"/>
        <v>0.05</v>
      </c>
      <c r="Q95" s="6">
        <f t="shared" si="11"/>
        <v>3370.7000000000003</v>
      </c>
      <c r="R95" t="str">
        <f>UPPER(F95)</f>
        <v>OPS06</v>
      </c>
      <c r="S95" t="str">
        <f t="shared" si="12"/>
        <v>OPS06</v>
      </c>
      <c r="T95" t="s">
        <v>286</v>
      </c>
      <c r="U95" t="str">
        <f t="shared" si="13"/>
        <v>Thomas Miller</v>
      </c>
      <c r="V95" t="str">
        <f t="shared" si="14"/>
        <v>Left</v>
      </c>
      <c r="W95" t="str">
        <f t="shared" si="15"/>
        <v>Left</v>
      </c>
    </row>
    <row r="96" spans="2:23" x14ac:dyDescent="0.25">
      <c r="B96" s="3" t="s">
        <v>141</v>
      </c>
      <c r="C96" t="s">
        <v>117</v>
      </c>
      <c r="D96" t="s">
        <v>17</v>
      </c>
      <c r="E96" t="s">
        <v>284</v>
      </c>
      <c r="F96" t="s">
        <v>37</v>
      </c>
      <c r="G96" s="4">
        <v>42095</v>
      </c>
      <c r="H96" s="8">
        <v>115288</v>
      </c>
      <c r="J96">
        <v>61</v>
      </c>
      <c r="L96" t="s">
        <v>38</v>
      </c>
      <c r="M96" t="str">
        <f>VLOOKUP(F96,Lookup_Departments!A:B,2,0)</f>
        <v>Sales</v>
      </c>
      <c r="N96" s="11">
        <f t="shared" ca="1" si="8"/>
        <v>11.3</v>
      </c>
      <c r="O96" s="11" t="str">
        <f t="shared" si="9"/>
        <v>Developing</v>
      </c>
      <c r="P96" s="11" t="str">
        <f t="shared" si="10"/>
        <v>0.02</v>
      </c>
      <c r="Q96" s="6">
        <f t="shared" si="11"/>
        <v>2305.7600000000002</v>
      </c>
      <c r="R96" t="str">
        <f>UPPER(F96)</f>
        <v>SAL05</v>
      </c>
      <c r="S96" t="str">
        <f t="shared" si="12"/>
        <v>SAL05</v>
      </c>
      <c r="T96" t="s">
        <v>284</v>
      </c>
      <c r="U96" t="str">
        <f t="shared" si="13"/>
        <v>William Gonzalez</v>
      </c>
      <c r="V96" t="str">
        <f t="shared" si="14"/>
        <v>Active</v>
      </c>
      <c r="W96" t="str">
        <f t="shared" si="15"/>
        <v>Active</v>
      </c>
    </row>
    <row r="97" spans="2:23" x14ac:dyDescent="0.25">
      <c r="B97" s="3" t="s">
        <v>142</v>
      </c>
      <c r="C97" t="s">
        <v>24</v>
      </c>
      <c r="D97" t="s">
        <v>24</v>
      </c>
      <c r="E97" t="s">
        <v>323</v>
      </c>
      <c r="F97" t="s">
        <v>37</v>
      </c>
      <c r="G97" s="4">
        <v>43232</v>
      </c>
      <c r="H97" s="8">
        <v>80140</v>
      </c>
      <c r="J97">
        <v>58</v>
      </c>
      <c r="L97" t="s">
        <v>38</v>
      </c>
      <c r="M97" t="str">
        <f>VLOOKUP(F97,Lookup_Departments!A:B,2,0)</f>
        <v>Sales</v>
      </c>
      <c r="N97" s="11">
        <f t="shared" ca="1" si="8"/>
        <v>8.1999999999999993</v>
      </c>
      <c r="O97" s="11" t="str">
        <f t="shared" si="9"/>
        <v>Developing</v>
      </c>
      <c r="P97" s="11" t="str">
        <f t="shared" si="10"/>
        <v>0.02</v>
      </c>
      <c r="Q97" s="6">
        <f t="shared" si="11"/>
        <v>1602.8</v>
      </c>
      <c r="R97" t="str">
        <f>UPPER(F97)</f>
        <v>SAL05</v>
      </c>
      <c r="S97" t="str">
        <f t="shared" si="12"/>
        <v>SAL05</v>
      </c>
      <c r="T97" t="s">
        <v>323</v>
      </c>
      <c r="U97" t="str">
        <f t="shared" si="13"/>
        <v>Smith Smith</v>
      </c>
      <c r="V97" t="str">
        <f t="shared" si="14"/>
        <v>Active</v>
      </c>
      <c r="W97" t="str">
        <f t="shared" si="15"/>
        <v>Active</v>
      </c>
    </row>
    <row r="98" spans="2:23" x14ac:dyDescent="0.25">
      <c r="B98" s="3" t="s">
        <v>143</v>
      </c>
      <c r="C98" t="s">
        <v>19</v>
      </c>
      <c r="D98" t="s">
        <v>27</v>
      </c>
      <c r="E98" t="s">
        <v>282</v>
      </c>
      <c r="F98" t="s">
        <v>11</v>
      </c>
      <c r="G98" s="4">
        <v>44482</v>
      </c>
      <c r="H98" s="8">
        <v>73087</v>
      </c>
      <c r="J98">
        <v>69</v>
      </c>
      <c r="L98" t="s">
        <v>38</v>
      </c>
      <c r="M98" t="str">
        <f>VLOOKUP(F98,Lookup_Departments!A:B,2,0)</f>
        <v>Information Technology</v>
      </c>
      <c r="N98" s="11">
        <f t="shared" ca="1" si="8"/>
        <v>4.7</v>
      </c>
      <c r="O98" s="11" t="str">
        <f t="shared" si="9"/>
        <v>Developing</v>
      </c>
      <c r="P98" s="11" t="str">
        <f t="shared" si="10"/>
        <v>0.02</v>
      </c>
      <c r="Q98" s="6">
        <f t="shared" si="11"/>
        <v>1461.74</v>
      </c>
      <c r="R98" t="str">
        <f>UPPER(F98)</f>
        <v>IT02</v>
      </c>
      <c r="S98" t="str">
        <f t="shared" si="12"/>
        <v>IT02</v>
      </c>
      <c r="T98" t="s">
        <v>282</v>
      </c>
      <c r="U98" t="str">
        <f t="shared" si="13"/>
        <v>John Johnson</v>
      </c>
      <c r="V98" t="str">
        <f t="shared" si="14"/>
        <v>Active</v>
      </c>
      <c r="W98" t="str">
        <f t="shared" si="15"/>
        <v>Active</v>
      </c>
    </row>
    <row r="99" spans="2:23" x14ac:dyDescent="0.25">
      <c r="B99" s="3" t="s">
        <v>144</v>
      </c>
      <c r="C99" t="s">
        <v>43</v>
      </c>
      <c r="D99" t="s">
        <v>27</v>
      </c>
      <c r="E99" t="s">
        <v>287</v>
      </c>
      <c r="F99" t="s">
        <v>37</v>
      </c>
      <c r="G99" s="4">
        <v>44021</v>
      </c>
      <c r="H99" s="8">
        <v>95292</v>
      </c>
      <c r="J99">
        <v>34</v>
      </c>
      <c r="L99" t="s">
        <v>38</v>
      </c>
      <c r="M99" t="str">
        <f>VLOOKUP(F99,Lookup_Departments!A:B,2,0)</f>
        <v>Sales</v>
      </c>
      <c r="N99" s="11">
        <f t="shared" ca="1" si="8"/>
        <v>6</v>
      </c>
      <c r="O99" s="11" t="str">
        <f t="shared" si="9"/>
        <v>Needs Improvement</v>
      </c>
      <c r="P99" s="11" t="str">
        <f t="shared" si="10"/>
        <v>0</v>
      </c>
      <c r="Q99" s="6">
        <f t="shared" si="11"/>
        <v>0</v>
      </c>
      <c r="R99" t="str">
        <f>UPPER(F99)</f>
        <v>SAL05</v>
      </c>
      <c r="S99" t="str">
        <f t="shared" si="12"/>
        <v>SAL05</v>
      </c>
      <c r="T99" t="s">
        <v>287</v>
      </c>
      <c r="U99" t="str">
        <f t="shared" si="13"/>
        <v>Jane Johnson</v>
      </c>
      <c r="V99" t="str">
        <f t="shared" si="14"/>
        <v>Active</v>
      </c>
      <c r="W99" t="str">
        <f t="shared" si="15"/>
        <v>Active</v>
      </c>
    </row>
    <row r="100" spans="2:23" x14ac:dyDescent="0.25">
      <c r="B100" s="3" t="s">
        <v>145</v>
      </c>
      <c r="C100" t="s">
        <v>19</v>
      </c>
      <c r="D100" t="s">
        <v>48</v>
      </c>
      <c r="E100" t="s">
        <v>288</v>
      </c>
      <c r="F100" t="s">
        <v>11</v>
      </c>
      <c r="G100" s="4">
        <v>43532</v>
      </c>
      <c r="H100" s="8">
        <v>83604</v>
      </c>
      <c r="J100">
        <v>33</v>
      </c>
      <c r="L100" t="s">
        <v>38</v>
      </c>
      <c r="M100" t="str">
        <f>VLOOKUP(F100,Lookup_Departments!A:B,2,0)</f>
        <v>Information Technology</v>
      </c>
      <c r="N100" s="11">
        <f t="shared" ca="1" si="8"/>
        <v>7.3</v>
      </c>
      <c r="O100" s="11" t="str">
        <f t="shared" si="9"/>
        <v>Needs Improvement</v>
      </c>
      <c r="P100" s="11" t="str">
        <f t="shared" si="10"/>
        <v>0</v>
      </c>
      <c r="Q100" s="6">
        <f t="shared" si="11"/>
        <v>0</v>
      </c>
      <c r="R100" t="str">
        <f>UPPER(F100)</f>
        <v>IT02</v>
      </c>
      <c r="S100" t="str">
        <f t="shared" si="12"/>
        <v>IT02</v>
      </c>
      <c r="T100" t="s">
        <v>288</v>
      </c>
      <c r="U100" t="str">
        <f t="shared" si="13"/>
        <v>John Jones</v>
      </c>
      <c r="V100" t="str">
        <f t="shared" si="14"/>
        <v>Active</v>
      </c>
      <c r="W100" t="str">
        <f t="shared" si="15"/>
        <v>Active</v>
      </c>
    </row>
    <row r="101" spans="2:23" hidden="1" x14ac:dyDescent="0.25">
      <c r="B101" s="3" t="s">
        <v>146</v>
      </c>
      <c r="C101" t="s">
        <v>43</v>
      </c>
      <c r="D101" t="s">
        <v>56</v>
      </c>
      <c r="E101" t="s">
        <v>289</v>
      </c>
      <c r="F101" t="s">
        <v>15</v>
      </c>
      <c r="G101" s="4">
        <v>42311</v>
      </c>
      <c r="H101" s="8">
        <v>101750</v>
      </c>
      <c r="J101">
        <v>84</v>
      </c>
      <c r="L101" t="s">
        <v>25</v>
      </c>
      <c r="M101" t="str">
        <f>VLOOKUP(F101,Lookup_Departments!A:B,2,0)</f>
        <v>Marketing</v>
      </c>
      <c r="N101" s="11">
        <f t="shared" ca="1" si="8"/>
        <v>10.7</v>
      </c>
      <c r="O101" s="11" t="str">
        <f t="shared" si="9"/>
        <v>Achieving</v>
      </c>
      <c r="P101" s="11" t="str">
        <f t="shared" si="10"/>
        <v>0.05</v>
      </c>
      <c r="Q101" s="6">
        <f t="shared" si="11"/>
        <v>5087.5</v>
      </c>
      <c r="R101" t="str">
        <f>UPPER(F101)</f>
        <v>MKT04</v>
      </c>
      <c r="S101" t="str">
        <f t="shared" si="12"/>
        <v>MKT04</v>
      </c>
      <c r="T101" t="s">
        <v>289</v>
      </c>
      <c r="U101" t="str">
        <f t="shared" si="13"/>
        <v>Jane Lopez</v>
      </c>
      <c r="V101" t="str">
        <f t="shared" si="14"/>
        <v>Left</v>
      </c>
      <c r="W101" t="str">
        <f t="shared" si="15"/>
        <v>Left</v>
      </c>
    </row>
    <row r="102" spans="2:23" x14ac:dyDescent="0.25">
      <c r="B102" s="3" t="s">
        <v>147</v>
      </c>
      <c r="C102" t="s">
        <v>79</v>
      </c>
      <c r="D102" t="s">
        <v>17</v>
      </c>
      <c r="E102" t="s">
        <v>290</v>
      </c>
      <c r="F102" t="s">
        <v>15</v>
      </c>
      <c r="G102" s="4">
        <v>42785</v>
      </c>
      <c r="H102" s="8">
        <v>82992</v>
      </c>
      <c r="J102">
        <v>79</v>
      </c>
      <c r="L102" t="s">
        <v>38</v>
      </c>
      <c r="M102" t="str">
        <f>VLOOKUP(F102,Lookup_Departments!A:B,2,0)</f>
        <v>Marketing</v>
      </c>
      <c r="N102" s="11">
        <f t="shared" ca="1" si="8"/>
        <v>9.4</v>
      </c>
      <c r="O102" s="11" t="str">
        <f t="shared" si="9"/>
        <v>Achieving</v>
      </c>
      <c r="P102" s="11" t="str">
        <f t="shared" si="10"/>
        <v>0.05</v>
      </c>
      <c r="Q102" s="6">
        <f t="shared" si="11"/>
        <v>4149.6000000000004</v>
      </c>
      <c r="R102" t="str">
        <f>UPPER(F102)</f>
        <v>MKT04</v>
      </c>
      <c r="S102" t="str">
        <f t="shared" si="12"/>
        <v>MKT04</v>
      </c>
      <c r="T102" t="s">
        <v>290</v>
      </c>
      <c r="U102" t="str">
        <f t="shared" si="13"/>
        <v>Melissa Gonzalez</v>
      </c>
      <c r="V102" t="str">
        <f t="shared" si="14"/>
        <v>Active</v>
      </c>
      <c r="W102" t="str">
        <f t="shared" si="15"/>
        <v>Active</v>
      </c>
    </row>
    <row r="103" spans="2:23" x14ac:dyDescent="0.25">
      <c r="B103" s="3" t="s">
        <v>148</v>
      </c>
      <c r="C103" t="s">
        <v>117</v>
      </c>
      <c r="D103" t="s">
        <v>51</v>
      </c>
      <c r="E103" t="s">
        <v>291</v>
      </c>
      <c r="F103" t="s">
        <v>11</v>
      </c>
      <c r="G103" s="4">
        <v>45174</v>
      </c>
      <c r="H103" s="8">
        <v>49942</v>
      </c>
      <c r="J103">
        <v>51</v>
      </c>
      <c r="L103" t="s">
        <v>38</v>
      </c>
      <c r="M103" t="str">
        <f>VLOOKUP(F103,Lookup_Departments!A:B,2,0)</f>
        <v>Information Technology</v>
      </c>
      <c r="N103" s="11">
        <f t="shared" ca="1" si="8"/>
        <v>2.8</v>
      </c>
      <c r="O103" s="11" t="str">
        <f t="shared" si="9"/>
        <v>Developing</v>
      </c>
      <c r="P103" s="11" t="str">
        <f t="shared" si="10"/>
        <v>0.02</v>
      </c>
      <c r="Q103" s="6">
        <f t="shared" si="11"/>
        <v>998.84</v>
      </c>
      <c r="R103" t="str">
        <f>UPPER(F103)</f>
        <v>IT02</v>
      </c>
      <c r="S103" t="str">
        <f t="shared" si="12"/>
        <v>IT02</v>
      </c>
      <c r="T103" t="s">
        <v>291</v>
      </c>
      <c r="U103" t="str">
        <f t="shared" si="13"/>
        <v>William Davis</v>
      </c>
      <c r="V103" t="str">
        <f t="shared" si="14"/>
        <v>Active</v>
      </c>
      <c r="W103" t="str">
        <f t="shared" si="15"/>
        <v>Active</v>
      </c>
    </row>
    <row r="104" spans="2:23" x14ac:dyDescent="0.25">
      <c r="B104" s="3" t="s">
        <v>149</v>
      </c>
      <c r="C104" t="s">
        <v>19</v>
      </c>
      <c r="D104" t="s">
        <v>24</v>
      </c>
      <c r="E104" t="s">
        <v>292</v>
      </c>
      <c r="F104" t="s">
        <v>28</v>
      </c>
      <c r="G104" s="4">
        <v>43122</v>
      </c>
      <c r="H104" s="8">
        <v>89060</v>
      </c>
      <c r="J104">
        <v>58</v>
      </c>
      <c r="L104" t="s">
        <v>38</v>
      </c>
      <c r="M104" t="str">
        <f>VLOOKUP(F104,Lookup_Departments!A:B,2,0)</f>
        <v>Operations</v>
      </c>
      <c r="N104" s="11">
        <f t="shared" ca="1" si="8"/>
        <v>8.5</v>
      </c>
      <c r="O104" s="11" t="str">
        <f t="shared" si="9"/>
        <v>Developing</v>
      </c>
      <c r="P104" s="11" t="str">
        <f t="shared" si="10"/>
        <v>0.02</v>
      </c>
      <c r="Q104" s="6">
        <f t="shared" si="11"/>
        <v>1781.2</v>
      </c>
      <c r="R104" t="str">
        <f>UPPER(F104)</f>
        <v>OPS06</v>
      </c>
      <c r="S104" t="str">
        <f t="shared" si="12"/>
        <v>OPS06</v>
      </c>
      <c r="T104" t="s">
        <v>292</v>
      </c>
      <c r="U104" t="str">
        <f t="shared" si="13"/>
        <v>John Smith</v>
      </c>
      <c r="V104" t="str">
        <f t="shared" si="14"/>
        <v>Active</v>
      </c>
      <c r="W104" t="str">
        <f t="shared" si="15"/>
        <v>Active</v>
      </c>
    </row>
    <row r="105" spans="2:23" x14ac:dyDescent="0.25">
      <c r="B105" s="3" t="s">
        <v>150</v>
      </c>
      <c r="C105" t="s">
        <v>53</v>
      </c>
      <c r="D105" t="s">
        <v>17</v>
      </c>
      <c r="E105" t="s">
        <v>273</v>
      </c>
      <c r="F105" t="s">
        <v>11</v>
      </c>
      <c r="G105" s="4">
        <v>43879</v>
      </c>
      <c r="H105" s="8">
        <v>53786</v>
      </c>
      <c r="J105">
        <v>98</v>
      </c>
      <c r="L105" t="s">
        <v>38</v>
      </c>
      <c r="M105" t="str">
        <f>VLOOKUP(F105,Lookup_Departments!A:B,2,0)</f>
        <v>Information Technology</v>
      </c>
      <c r="N105" s="11">
        <f t="shared" ca="1" si="8"/>
        <v>6.4</v>
      </c>
      <c r="O105" s="11" t="str">
        <f t="shared" si="9"/>
        <v>Outstanding</v>
      </c>
      <c r="P105" s="11" t="str">
        <f t="shared" si="10"/>
        <v>0.12</v>
      </c>
      <c r="Q105" s="6">
        <f t="shared" si="11"/>
        <v>6454.32</v>
      </c>
      <c r="R105" t="str">
        <f>UPPER(F105)</f>
        <v>IT02</v>
      </c>
      <c r="S105" t="str">
        <f t="shared" si="12"/>
        <v>IT02</v>
      </c>
      <c r="T105" t="s">
        <v>273</v>
      </c>
      <c r="U105" t="str">
        <f t="shared" si="13"/>
        <v>James Gonzalez</v>
      </c>
      <c r="V105" t="str">
        <f t="shared" si="14"/>
        <v>Active</v>
      </c>
      <c r="W105" t="str">
        <f t="shared" si="15"/>
        <v>Active</v>
      </c>
    </row>
    <row r="106" spans="2:23" x14ac:dyDescent="0.25">
      <c r="B106" s="3" t="s">
        <v>151</v>
      </c>
      <c r="C106" t="s">
        <v>9</v>
      </c>
      <c r="D106" t="s">
        <v>27</v>
      </c>
      <c r="E106" t="s">
        <v>219</v>
      </c>
      <c r="F106" t="s">
        <v>28</v>
      </c>
      <c r="G106" s="4">
        <v>42512</v>
      </c>
      <c r="H106" s="8">
        <v>81167</v>
      </c>
      <c r="J106">
        <v>68</v>
      </c>
      <c r="L106" t="s">
        <v>38</v>
      </c>
      <c r="M106" t="str">
        <f>VLOOKUP(F106,Lookup_Departments!A:B,2,0)</f>
        <v>Operations</v>
      </c>
      <c r="N106" s="11">
        <f t="shared" ca="1" si="8"/>
        <v>10.1</v>
      </c>
      <c r="O106" s="11" t="str">
        <f t="shared" si="9"/>
        <v>Developing</v>
      </c>
      <c r="P106" s="11" t="str">
        <f t="shared" si="10"/>
        <v>0.02</v>
      </c>
      <c r="Q106" s="6">
        <f t="shared" si="11"/>
        <v>1623.3400000000001</v>
      </c>
      <c r="R106" t="str">
        <f>UPPER(F106)</f>
        <v>OPS06</v>
      </c>
      <c r="S106" t="str">
        <f t="shared" si="12"/>
        <v>OPS06</v>
      </c>
      <c r="T106" t="s">
        <v>219</v>
      </c>
      <c r="U106" t="str">
        <f t="shared" si="13"/>
        <v>Emily Johnson</v>
      </c>
      <c r="V106" t="str">
        <f t="shared" si="14"/>
        <v>Active</v>
      </c>
      <c r="W106" t="str">
        <f t="shared" si="15"/>
        <v>Active</v>
      </c>
    </row>
    <row r="107" spans="2:23" hidden="1" x14ac:dyDescent="0.25">
      <c r="B107" s="3" t="s">
        <v>152</v>
      </c>
      <c r="C107" t="s">
        <v>117</v>
      </c>
      <c r="D107" t="s">
        <v>44</v>
      </c>
      <c r="E107" t="s">
        <v>293</v>
      </c>
      <c r="F107" t="s">
        <v>15</v>
      </c>
      <c r="G107" s="4">
        <v>44233</v>
      </c>
      <c r="H107" s="8">
        <v>66688</v>
      </c>
      <c r="J107">
        <v>40</v>
      </c>
      <c r="L107" t="s">
        <v>25</v>
      </c>
      <c r="M107" t="str">
        <f>VLOOKUP(F107,Lookup_Departments!A:B,2,0)</f>
        <v>Marketing</v>
      </c>
      <c r="N107" s="11">
        <f t="shared" ca="1" si="8"/>
        <v>5.4</v>
      </c>
      <c r="O107" s="11" t="str">
        <f t="shared" si="9"/>
        <v>Needs Improvement</v>
      </c>
      <c r="P107" s="11" t="str">
        <f t="shared" si="10"/>
        <v>0</v>
      </c>
      <c r="Q107" s="6">
        <f t="shared" si="11"/>
        <v>0</v>
      </c>
      <c r="R107" t="str">
        <f>UPPER(F107)</f>
        <v>MKT04</v>
      </c>
      <c r="S107" t="str">
        <f t="shared" si="12"/>
        <v>MKT04</v>
      </c>
      <c r="T107" t="s">
        <v>293</v>
      </c>
      <c r="U107" t="str">
        <f t="shared" si="13"/>
        <v>William Williams</v>
      </c>
      <c r="V107" t="str">
        <f t="shared" si="14"/>
        <v>Left</v>
      </c>
      <c r="W107" t="str">
        <f t="shared" si="15"/>
        <v>Left</v>
      </c>
    </row>
    <row r="108" spans="2:23" x14ac:dyDescent="0.25">
      <c r="B108" s="3" t="s">
        <v>153</v>
      </c>
      <c r="C108" t="s">
        <v>53</v>
      </c>
      <c r="D108" t="s">
        <v>48</v>
      </c>
      <c r="E108" t="s">
        <v>294</v>
      </c>
      <c r="F108" t="s">
        <v>11</v>
      </c>
      <c r="G108" s="4">
        <v>44394</v>
      </c>
      <c r="H108" s="8">
        <v>91672</v>
      </c>
      <c r="J108">
        <v>88</v>
      </c>
      <c r="L108" t="s">
        <v>38</v>
      </c>
      <c r="M108" t="str">
        <f>VLOOKUP(F108,Lookup_Departments!A:B,2,0)</f>
        <v>Information Technology</v>
      </c>
      <c r="N108" s="11">
        <f t="shared" ca="1" si="8"/>
        <v>5</v>
      </c>
      <c r="O108" s="11" t="str">
        <f t="shared" si="9"/>
        <v>Exceeding</v>
      </c>
      <c r="P108" s="11" t="str">
        <f t="shared" si="10"/>
        <v>0.08</v>
      </c>
      <c r="Q108" s="6">
        <f t="shared" si="11"/>
        <v>7333.76</v>
      </c>
      <c r="R108" t="str">
        <f>UPPER(F108)</f>
        <v>IT02</v>
      </c>
      <c r="S108" t="str">
        <f t="shared" si="12"/>
        <v>IT02</v>
      </c>
      <c r="T108" t="s">
        <v>294</v>
      </c>
      <c r="U108" t="str">
        <f t="shared" si="13"/>
        <v>James Jones</v>
      </c>
      <c r="V108" t="str">
        <f t="shared" si="14"/>
        <v>Active</v>
      </c>
      <c r="W108" t="str">
        <f t="shared" si="15"/>
        <v>Active</v>
      </c>
    </row>
    <row r="109" spans="2:23" x14ac:dyDescent="0.25">
      <c r="B109" s="3" t="s">
        <v>154</v>
      </c>
      <c r="C109" t="s">
        <v>32</v>
      </c>
      <c r="D109" t="s">
        <v>17</v>
      </c>
      <c r="E109" t="s">
        <v>295</v>
      </c>
      <c r="F109" t="s">
        <v>74</v>
      </c>
      <c r="G109" s="4">
        <v>42687</v>
      </c>
      <c r="H109" s="8">
        <v>77737</v>
      </c>
      <c r="J109">
        <v>77</v>
      </c>
      <c r="L109" t="s">
        <v>38</v>
      </c>
      <c r="M109" t="str">
        <f>VLOOKUP(F109,Lookup_Departments!A:B,2,0)</f>
        <v>Human Resources</v>
      </c>
      <c r="N109" s="11">
        <f t="shared" ca="1" si="8"/>
        <v>9.6</v>
      </c>
      <c r="O109" s="11" t="str">
        <f t="shared" si="9"/>
        <v>Achieving</v>
      </c>
      <c r="P109" s="11" t="str">
        <f t="shared" si="10"/>
        <v>0.05</v>
      </c>
      <c r="Q109" s="6">
        <f t="shared" si="11"/>
        <v>3886.8500000000004</v>
      </c>
      <c r="R109" t="str">
        <f>UPPER(F109)</f>
        <v>HR01</v>
      </c>
      <c r="S109" t="str">
        <f t="shared" si="12"/>
        <v>HR01</v>
      </c>
      <c r="T109" t="s">
        <v>295</v>
      </c>
      <c r="U109" t="str">
        <f t="shared" si="13"/>
        <v>Jessica Gonzalez</v>
      </c>
      <c r="V109" t="str">
        <f t="shared" si="14"/>
        <v>Active</v>
      </c>
      <c r="W109" t="str">
        <f t="shared" si="15"/>
        <v>Active</v>
      </c>
    </row>
    <row r="110" spans="2:23" x14ac:dyDescent="0.25">
      <c r="B110" s="3" t="s">
        <v>155</v>
      </c>
      <c r="C110" t="s">
        <v>72</v>
      </c>
      <c r="D110" t="s">
        <v>40</v>
      </c>
      <c r="E110" t="s">
        <v>246</v>
      </c>
      <c r="F110" t="s">
        <v>37</v>
      </c>
      <c r="G110" s="4">
        <v>43513</v>
      </c>
      <c r="H110" s="8">
        <v>95686</v>
      </c>
      <c r="J110">
        <v>91</v>
      </c>
      <c r="L110" t="s">
        <v>38</v>
      </c>
      <c r="M110" t="str">
        <f>VLOOKUP(F110,Lookup_Departments!A:B,2,0)</f>
        <v>Sales</v>
      </c>
      <c r="N110" s="11">
        <f t="shared" ca="1" si="8"/>
        <v>7.4</v>
      </c>
      <c r="O110" s="11" t="str">
        <f t="shared" si="9"/>
        <v>Exceeding</v>
      </c>
      <c r="P110" s="11" t="str">
        <f t="shared" si="10"/>
        <v>0.08</v>
      </c>
      <c r="Q110" s="6">
        <f t="shared" si="11"/>
        <v>7654.88</v>
      </c>
      <c r="R110" t="str">
        <f>UPPER(F110)</f>
        <v>SAL05</v>
      </c>
      <c r="S110" t="str">
        <f t="shared" si="12"/>
        <v>SAL05</v>
      </c>
      <c r="T110" t="s">
        <v>246</v>
      </c>
      <c r="U110" t="str">
        <f t="shared" si="13"/>
        <v>Sarah Miller</v>
      </c>
      <c r="V110" t="str">
        <f t="shared" si="14"/>
        <v>Active</v>
      </c>
      <c r="W110" t="str">
        <f t="shared" si="15"/>
        <v>Active</v>
      </c>
    </row>
    <row r="111" spans="2:23" x14ac:dyDescent="0.25">
      <c r="B111" s="3" t="s">
        <v>156</v>
      </c>
      <c r="C111" t="s">
        <v>32</v>
      </c>
      <c r="D111" t="s">
        <v>24</v>
      </c>
      <c r="E111" t="s">
        <v>221</v>
      </c>
      <c r="F111" t="s">
        <v>37</v>
      </c>
      <c r="G111" s="4">
        <v>42713</v>
      </c>
      <c r="H111" s="8">
        <v>114681</v>
      </c>
      <c r="J111">
        <v>36</v>
      </c>
      <c r="L111" t="s">
        <v>38</v>
      </c>
      <c r="M111" t="str">
        <f>VLOOKUP(F111,Lookup_Departments!A:B,2,0)</f>
        <v>Sales</v>
      </c>
      <c r="N111" s="11">
        <f t="shared" ca="1" si="8"/>
        <v>9.6</v>
      </c>
      <c r="O111" s="11" t="str">
        <f t="shared" si="9"/>
        <v>Needs Improvement</v>
      </c>
      <c r="P111" s="11" t="str">
        <f t="shared" si="10"/>
        <v>0</v>
      </c>
      <c r="Q111" s="6">
        <f t="shared" si="11"/>
        <v>0</v>
      </c>
      <c r="R111" t="str">
        <f>UPPER(F111)</f>
        <v>SAL05</v>
      </c>
      <c r="S111" t="str">
        <f t="shared" si="12"/>
        <v>SAL05</v>
      </c>
      <c r="T111" t="s">
        <v>221</v>
      </c>
      <c r="U111" t="str">
        <f t="shared" si="13"/>
        <v>Jessica Smith</v>
      </c>
      <c r="V111" t="str">
        <f t="shared" si="14"/>
        <v>Active</v>
      </c>
      <c r="W111" t="str">
        <f t="shared" si="15"/>
        <v>Active</v>
      </c>
    </row>
    <row r="112" spans="2:23" x14ac:dyDescent="0.25">
      <c r="B112" s="3" t="s">
        <v>157</v>
      </c>
      <c r="C112" t="s">
        <v>23</v>
      </c>
      <c r="D112" t="s">
        <v>48</v>
      </c>
      <c r="E112" t="s">
        <v>267</v>
      </c>
      <c r="F112" t="s">
        <v>28</v>
      </c>
      <c r="G112" s="4">
        <v>44421</v>
      </c>
      <c r="H112" s="8">
        <v>109121</v>
      </c>
      <c r="J112">
        <v>72</v>
      </c>
      <c r="L112" t="s">
        <v>38</v>
      </c>
      <c r="M112" t="str">
        <f>VLOOKUP(F112,Lookup_Departments!A:B,2,0)</f>
        <v>Operations</v>
      </c>
      <c r="N112" s="11">
        <f t="shared" ca="1" si="8"/>
        <v>4.9000000000000004</v>
      </c>
      <c r="O112" s="11" t="str">
        <f t="shared" si="9"/>
        <v>Achieving</v>
      </c>
      <c r="P112" s="11" t="str">
        <f t="shared" si="10"/>
        <v>0.05</v>
      </c>
      <c r="Q112" s="6">
        <f t="shared" si="11"/>
        <v>5456.05</v>
      </c>
      <c r="R112" t="str">
        <f>UPPER(F112)</f>
        <v>OPS06</v>
      </c>
      <c r="S112" t="str">
        <f t="shared" si="12"/>
        <v>OPS06</v>
      </c>
      <c r="T112" t="s">
        <v>267</v>
      </c>
      <c r="U112" t="str">
        <f t="shared" si="13"/>
        <v>Thomas Jones</v>
      </c>
      <c r="V112" t="str">
        <f t="shared" si="14"/>
        <v>Active</v>
      </c>
      <c r="W112" t="str">
        <f t="shared" si="15"/>
        <v>Active</v>
      </c>
    </row>
    <row r="113" spans="2:23" x14ac:dyDescent="0.25">
      <c r="B113" s="3" t="s">
        <v>158</v>
      </c>
      <c r="C113" t="s">
        <v>58</v>
      </c>
      <c r="D113" t="s">
        <v>10</v>
      </c>
      <c r="E113" t="s">
        <v>296</v>
      </c>
      <c r="F113" t="s">
        <v>15</v>
      </c>
      <c r="G113" s="4">
        <v>43996</v>
      </c>
      <c r="H113" s="8">
        <v>112791</v>
      </c>
      <c r="J113">
        <v>87</v>
      </c>
      <c r="L113" t="s">
        <v>38</v>
      </c>
      <c r="M113" t="str">
        <f>VLOOKUP(F113,Lookup_Departments!A:B,2,0)</f>
        <v>Marketing</v>
      </c>
      <c r="N113" s="11">
        <f t="shared" ca="1" si="8"/>
        <v>6.1</v>
      </c>
      <c r="O113" s="11" t="str">
        <f t="shared" si="9"/>
        <v>Exceeding</v>
      </c>
      <c r="P113" s="11" t="str">
        <f t="shared" si="10"/>
        <v>0.08</v>
      </c>
      <c r="Q113" s="6">
        <f t="shared" si="11"/>
        <v>9023.2800000000007</v>
      </c>
      <c r="R113" t="str">
        <f>UPPER(F113)</f>
        <v>MKT04</v>
      </c>
      <c r="S113" t="str">
        <f t="shared" si="12"/>
        <v>MKT04</v>
      </c>
      <c r="T113" t="s">
        <v>296</v>
      </c>
      <c r="U113" t="str">
        <f t="shared" si="13"/>
        <v>Amanda Brown</v>
      </c>
      <c r="V113" t="str">
        <f t="shared" si="14"/>
        <v>Active</v>
      </c>
      <c r="W113" t="str">
        <f t="shared" si="15"/>
        <v>Active</v>
      </c>
    </row>
    <row r="114" spans="2:23" x14ac:dyDescent="0.25">
      <c r="B114" s="3" t="s">
        <v>159</v>
      </c>
      <c r="C114" t="s">
        <v>47</v>
      </c>
      <c r="D114" t="s">
        <v>20</v>
      </c>
      <c r="E114" t="s">
        <v>297</v>
      </c>
      <c r="F114" t="s">
        <v>11</v>
      </c>
      <c r="G114" s="4">
        <v>44688</v>
      </c>
      <c r="H114" s="8">
        <v>118008</v>
      </c>
      <c r="J114">
        <v>71</v>
      </c>
      <c r="L114" t="s">
        <v>38</v>
      </c>
      <c r="M114" t="str">
        <f>VLOOKUP(F114,Lookup_Departments!A:B,2,0)</f>
        <v>Information Technology</v>
      </c>
      <c r="N114" s="11">
        <f t="shared" ca="1" si="8"/>
        <v>4.2</v>
      </c>
      <c r="O114" s="11" t="str">
        <f t="shared" si="9"/>
        <v>Achieving</v>
      </c>
      <c r="P114" s="11" t="str">
        <f t="shared" si="10"/>
        <v>0.05</v>
      </c>
      <c r="Q114" s="6">
        <f t="shared" si="11"/>
        <v>5900.4000000000005</v>
      </c>
      <c r="R114" t="str">
        <f>UPPER(F114)</f>
        <v>IT02</v>
      </c>
      <c r="S114" t="str">
        <f t="shared" si="12"/>
        <v>IT02</v>
      </c>
      <c r="T114" t="s">
        <v>297</v>
      </c>
      <c r="U114" t="str">
        <f t="shared" si="13"/>
        <v>Robert Martinez</v>
      </c>
      <c r="V114" t="str">
        <f t="shared" si="14"/>
        <v>Active</v>
      </c>
      <c r="W114" t="str">
        <f t="shared" si="15"/>
        <v>Active</v>
      </c>
    </row>
    <row r="115" spans="2:23" x14ac:dyDescent="0.25">
      <c r="B115" s="3" t="s">
        <v>160</v>
      </c>
      <c r="C115" t="s">
        <v>23</v>
      </c>
      <c r="D115" t="s">
        <v>40</v>
      </c>
      <c r="E115" t="s">
        <v>286</v>
      </c>
      <c r="F115" t="s">
        <v>11</v>
      </c>
      <c r="G115" s="4">
        <v>42561</v>
      </c>
      <c r="H115" s="8">
        <v>74370</v>
      </c>
      <c r="J115">
        <v>82</v>
      </c>
      <c r="L115" t="s">
        <v>38</v>
      </c>
      <c r="M115" t="str">
        <f>VLOOKUP(F115,Lookup_Departments!A:B,2,0)</f>
        <v>Information Technology</v>
      </c>
      <c r="N115" s="11">
        <f t="shared" ca="1" si="8"/>
        <v>10</v>
      </c>
      <c r="O115" s="11" t="str">
        <f t="shared" si="9"/>
        <v>Achieving</v>
      </c>
      <c r="P115" s="11" t="str">
        <f t="shared" si="10"/>
        <v>0.05</v>
      </c>
      <c r="Q115" s="6">
        <f t="shared" si="11"/>
        <v>3718.5</v>
      </c>
      <c r="R115" t="str">
        <f>UPPER(F115)</f>
        <v>IT02</v>
      </c>
      <c r="S115" t="str">
        <f t="shared" si="12"/>
        <v>IT02</v>
      </c>
      <c r="T115" t="s">
        <v>286</v>
      </c>
      <c r="U115" t="str">
        <f t="shared" si="13"/>
        <v>Thomas Miller</v>
      </c>
      <c r="V115" t="str">
        <f t="shared" si="14"/>
        <v>Active</v>
      </c>
      <c r="W115" t="str">
        <f t="shared" si="15"/>
        <v>Active</v>
      </c>
    </row>
    <row r="116" spans="2:23" x14ac:dyDescent="0.25">
      <c r="B116" s="3" t="s">
        <v>161</v>
      </c>
      <c r="C116" t="s">
        <v>84</v>
      </c>
      <c r="D116" t="s">
        <v>34</v>
      </c>
      <c r="E116" t="s">
        <v>298</v>
      </c>
      <c r="F116" t="s">
        <v>11</v>
      </c>
      <c r="G116" s="4">
        <v>44674</v>
      </c>
      <c r="H116" s="8">
        <v>77819</v>
      </c>
      <c r="J116">
        <v>79</v>
      </c>
      <c r="L116" t="s">
        <v>38</v>
      </c>
      <c r="M116" t="str">
        <f>VLOOKUP(F116,Lookup_Departments!A:B,2,0)</f>
        <v>Information Technology</v>
      </c>
      <c r="N116" s="11">
        <f t="shared" ca="1" si="8"/>
        <v>4.2</v>
      </c>
      <c r="O116" s="11" t="str">
        <f t="shared" si="9"/>
        <v>Achieving</v>
      </c>
      <c r="P116" s="11" t="str">
        <f t="shared" si="10"/>
        <v>0.05</v>
      </c>
      <c r="Q116" s="6">
        <f t="shared" si="11"/>
        <v>3890.9500000000003</v>
      </c>
      <c r="R116" t="str">
        <f>UPPER(F116)</f>
        <v>IT02</v>
      </c>
      <c r="S116" t="str">
        <f t="shared" si="12"/>
        <v>IT02</v>
      </c>
      <c r="T116" t="s">
        <v>298</v>
      </c>
      <c r="U116" t="str">
        <f t="shared" si="13"/>
        <v>David Rodriguez</v>
      </c>
      <c r="V116" t="str">
        <f t="shared" si="14"/>
        <v>Active</v>
      </c>
      <c r="W116" t="str">
        <f t="shared" si="15"/>
        <v>Active</v>
      </c>
    </row>
    <row r="117" spans="2:23" x14ac:dyDescent="0.25">
      <c r="B117" s="3" t="s">
        <v>162</v>
      </c>
      <c r="C117" t="s">
        <v>43</v>
      </c>
      <c r="D117" t="s">
        <v>40</v>
      </c>
      <c r="E117" t="s">
        <v>226</v>
      </c>
      <c r="F117" t="s">
        <v>15</v>
      </c>
      <c r="G117" s="4">
        <v>42865</v>
      </c>
      <c r="H117" s="8">
        <v>48748</v>
      </c>
      <c r="J117">
        <v>83</v>
      </c>
      <c r="L117" t="s">
        <v>38</v>
      </c>
      <c r="M117" t="str">
        <f>VLOOKUP(F117,Lookup_Departments!A:B,2,0)</f>
        <v>Marketing</v>
      </c>
      <c r="N117" s="11">
        <f t="shared" ca="1" si="8"/>
        <v>9.1999999999999993</v>
      </c>
      <c r="O117" s="11" t="str">
        <f t="shared" si="9"/>
        <v>Achieving</v>
      </c>
      <c r="P117" s="11" t="str">
        <f t="shared" si="10"/>
        <v>0.05</v>
      </c>
      <c r="Q117" s="6">
        <f t="shared" si="11"/>
        <v>2437.4</v>
      </c>
      <c r="R117" t="str">
        <f>UPPER(F117)</f>
        <v>MKT04</v>
      </c>
      <c r="S117" t="str">
        <f t="shared" si="12"/>
        <v>MKT04</v>
      </c>
      <c r="T117" t="s">
        <v>226</v>
      </c>
      <c r="U117" t="str">
        <f t="shared" si="13"/>
        <v>Jane Miller</v>
      </c>
      <c r="V117" t="str">
        <f t="shared" si="14"/>
        <v>Active</v>
      </c>
      <c r="W117" t="str">
        <f t="shared" si="15"/>
        <v>Active</v>
      </c>
    </row>
    <row r="118" spans="2:23" hidden="1" x14ac:dyDescent="0.25">
      <c r="B118" s="3" t="s">
        <v>163</v>
      </c>
      <c r="C118" t="s">
        <v>53</v>
      </c>
      <c r="D118" t="s">
        <v>34</v>
      </c>
      <c r="E118" t="s">
        <v>299</v>
      </c>
      <c r="F118" t="s">
        <v>28</v>
      </c>
      <c r="G118" s="4">
        <v>43971</v>
      </c>
      <c r="H118" s="8">
        <v>101997</v>
      </c>
      <c r="J118">
        <v>38</v>
      </c>
      <c r="L118" t="s">
        <v>86</v>
      </c>
      <c r="M118" t="str">
        <f>VLOOKUP(F118,Lookup_Departments!A:B,2,0)</f>
        <v>Operations</v>
      </c>
      <c r="N118" s="11">
        <f t="shared" ca="1" si="8"/>
        <v>6.1</v>
      </c>
      <c r="O118" s="11" t="str">
        <f t="shared" si="9"/>
        <v>Needs Improvement</v>
      </c>
      <c r="P118" s="11" t="str">
        <f t="shared" si="10"/>
        <v>0</v>
      </c>
      <c r="Q118" s="6">
        <f t="shared" si="11"/>
        <v>0</v>
      </c>
      <c r="R118" t="str">
        <f>UPPER(F118)</f>
        <v>OPS06</v>
      </c>
      <c r="S118" t="str">
        <f t="shared" si="12"/>
        <v>OPS06</v>
      </c>
      <c r="T118" t="s">
        <v>299</v>
      </c>
      <c r="U118" t="str">
        <f t="shared" si="13"/>
        <v>James Rodriguez</v>
      </c>
      <c r="V118" t="str">
        <f t="shared" si="14"/>
        <v>Resigned</v>
      </c>
      <c r="W118" t="str">
        <f t="shared" si="15"/>
        <v>Resigned</v>
      </c>
    </row>
    <row r="119" spans="2:23" x14ac:dyDescent="0.25">
      <c r="B119" s="3" t="s">
        <v>164</v>
      </c>
      <c r="C119" t="s">
        <v>72</v>
      </c>
      <c r="D119" t="s">
        <v>34</v>
      </c>
      <c r="E119" t="s">
        <v>300</v>
      </c>
      <c r="F119" t="s">
        <v>74</v>
      </c>
      <c r="G119" s="4">
        <v>45036</v>
      </c>
      <c r="H119" s="8">
        <v>115260</v>
      </c>
      <c r="J119">
        <v>77</v>
      </c>
      <c r="L119" t="s">
        <v>38</v>
      </c>
      <c r="M119" t="str">
        <f>VLOOKUP(F119,Lookup_Departments!A:B,2,0)</f>
        <v>Human Resources</v>
      </c>
      <c r="N119" s="11">
        <f t="shared" ca="1" si="8"/>
        <v>3.2</v>
      </c>
      <c r="O119" s="11" t="str">
        <f t="shared" si="9"/>
        <v>Achieving</v>
      </c>
      <c r="P119" s="11" t="str">
        <f t="shared" si="10"/>
        <v>0.05</v>
      </c>
      <c r="Q119" s="6">
        <f t="shared" si="11"/>
        <v>5763</v>
      </c>
      <c r="R119" t="str">
        <f>UPPER(F119)</f>
        <v>HR01</v>
      </c>
      <c r="S119" t="str">
        <f t="shared" si="12"/>
        <v>HR01</v>
      </c>
      <c r="T119" t="s">
        <v>300</v>
      </c>
      <c r="U119" t="str">
        <f t="shared" si="13"/>
        <v>Sarah Rodriguez</v>
      </c>
      <c r="V119" t="str">
        <f t="shared" si="14"/>
        <v>Active</v>
      </c>
      <c r="W119" t="str">
        <f t="shared" si="15"/>
        <v>Active</v>
      </c>
    </row>
    <row r="120" spans="2:23" x14ac:dyDescent="0.25">
      <c r="B120" s="3" t="s">
        <v>165</v>
      </c>
      <c r="C120" t="s">
        <v>72</v>
      </c>
      <c r="D120" t="s">
        <v>30</v>
      </c>
      <c r="E120" t="s">
        <v>301</v>
      </c>
      <c r="F120" t="s">
        <v>37</v>
      </c>
      <c r="G120" s="4">
        <v>44500</v>
      </c>
      <c r="H120" s="8">
        <v>83604</v>
      </c>
      <c r="J120">
        <v>49</v>
      </c>
      <c r="L120" t="s">
        <v>38</v>
      </c>
      <c r="M120" t="str">
        <f>VLOOKUP(F120,Lookup_Departments!A:B,2,0)</f>
        <v>Sales</v>
      </c>
      <c r="N120" s="11">
        <f t="shared" ca="1" si="8"/>
        <v>4.7</v>
      </c>
      <c r="O120" s="11" t="str">
        <f t="shared" si="9"/>
        <v>Needs Improvement</v>
      </c>
      <c r="P120" s="11" t="str">
        <f t="shared" si="10"/>
        <v>0</v>
      </c>
      <c r="Q120" s="6">
        <f t="shared" si="11"/>
        <v>0</v>
      </c>
      <c r="R120" t="str">
        <f>UPPER(F120)</f>
        <v>SAL05</v>
      </c>
      <c r="S120" t="str">
        <f t="shared" si="12"/>
        <v>SAL05</v>
      </c>
      <c r="T120" t="s">
        <v>301</v>
      </c>
      <c r="U120" t="str">
        <f t="shared" si="13"/>
        <v>Sarah Wilson</v>
      </c>
      <c r="V120" t="str">
        <f t="shared" si="14"/>
        <v>Active</v>
      </c>
      <c r="W120" t="str">
        <f t="shared" si="15"/>
        <v>Active</v>
      </c>
    </row>
    <row r="121" spans="2:23" hidden="1" x14ac:dyDescent="0.25">
      <c r="B121" s="3" t="s">
        <v>166</v>
      </c>
      <c r="C121" t="s">
        <v>79</v>
      </c>
      <c r="D121" t="s">
        <v>10</v>
      </c>
      <c r="E121" t="s">
        <v>244</v>
      </c>
      <c r="F121" t="s">
        <v>11</v>
      </c>
      <c r="G121" s="4">
        <v>44493</v>
      </c>
      <c r="H121" s="8">
        <v>83604</v>
      </c>
      <c r="J121">
        <v>69</v>
      </c>
      <c r="L121" t="s">
        <v>25</v>
      </c>
      <c r="M121" t="str">
        <f>VLOOKUP(F121,Lookup_Departments!A:B,2,0)</f>
        <v>Information Technology</v>
      </c>
      <c r="N121" s="11">
        <f t="shared" ca="1" si="8"/>
        <v>4.7</v>
      </c>
      <c r="O121" s="11" t="str">
        <f t="shared" si="9"/>
        <v>Developing</v>
      </c>
      <c r="P121" s="11" t="str">
        <f t="shared" si="10"/>
        <v>0.02</v>
      </c>
      <c r="Q121" s="6">
        <f t="shared" si="11"/>
        <v>1672.08</v>
      </c>
      <c r="R121" t="str">
        <f>UPPER(F121)</f>
        <v>IT02</v>
      </c>
      <c r="S121" t="str">
        <f t="shared" si="12"/>
        <v>IT02</v>
      </c>
      <c r="T121" t="s">
        <v>244</v>
      </c>
      <c r="U121" t="str">
        <f t="shared" si="13"/>
        <v>Melissa Brown</v>
      </c>
      <c r="V121" t="str">
        <f t="shared" si="14"/>
        <v>Left</v>
      </c>
      <c r="W121" t="str">
        <f t="shared" si="15"/>
        <v>Left</v>
      </c>
    </row>
    <row r="122" spans="2:23" x14ac:dyDescent="0.25">
      <c r="B122" s="3" t="s">
        <v>167</v>
      </c>
      <c r="C122" t="s">
        <v>47</v>
      </c>
      <c r="D122" t="s">
        <v>44</v>
      </c>
      <c r="E122" t="s">
        <v>302</v>
      </c>
      <c r="F122" t="s">
        <v>37</v>
      </c>
      <c r="G122" s="4">
        <v>42986</v>
      </c>
      <c r="H122" s="8">
        <v>83604</v>
      </c>
      <c r="J122">
        <v>76</v>
      </c>
      <c r="L122" t="s">
        <v>38</v>
      </c>
      <c r="M122" t="str">
        <f>VLOOKUP(F122,Lookup_Departments!A:B,2,0)</f>
        <v>Sales</v>
      </c>
      <c r="N122" s="11">
        <f t="shared" ca="1" si="8"/>
        <v>8.8000000000000007</v>
      </c>
      <c r="O122" s="11" t="str">
        <f t="shared" si="9"/>
        <v>Achieving</v>
      </c>
      <c r="P122" s="11" t="str">
        <f t="shared" si="10"/>
        <v>0.05</v>
      </c>
      <c r="Q122" s="6">
        <f t="shared" si="11"/>
        <v>4180.2</v>
      </c>
      <c r="R122" t="str">
        <f>UPPER(F122)</f>
        <v>SAL05</v>
      </c>
      <c r="S122" t="str">
        <f t="shared" si="12"/>
        <v>SAL05</v>
      </c>
      <c r="T122" t="s">
        <v>302</v>
      </c>
      <c r="U122" t="str">
        <f t="shared" si="13"/>
        <v>Robert Williams</v>
      </c>
      <c r="V122" t="str">
        <f t="shared" si="14"/>
        <v>Active</v>
      </c>
      <c r="W122" t="str">
        <f t="shared" si="15"/>
        <v>Active</v>
      </c>
    </row>
    <row r="123" spans="2:23" x14ac:dyDescent="0.25">
      <c r="B123" s="3" t="s">
        <v>168</v>
      </c>
      <c r="C123" t="s">
        <v>79</v>
      </c>
      <c r="D123" t="s">
        <v>34</v>
      </c>
      <c r="E123" t="s">
        <v>303</v>
      </c>
      <c r="F123" t="s">
        <v>28</v>
      </c>
      <c r="G123" s="4">
        <v>45017</v>
      </c>
      <c r="H123" s="8">
        <v>60623</v>
      </c>
      <c r="J123">
        <v>78</v>
      </c>
      <c r="L123" t="s">
        <v>38</v>
      </c>
      <c r="M123" t="str">
        <f>VLOOKUP(F123,Lookup_Departments!A:B,2,0)</f>
        <v>Operations</v>
      </c>
      <c r="N123" s="11">
        <f t="shared" ca="1" si="8"/>
        <v>3.3</v>
      </c>
      <c r="O123" s="11" t="str">
        <f t="shared" si="9"/>
        <v>Achieving</v>
      </c>
      <c r="P123" s="11" t="str">
        <f t="shared" si="10"/>
        <v>0.05</v>
      </c>
      <c r="Q123" s="6">
        <f t="shared" si="11"/>
        <v>3031.15</v>
      </c>
      <c r="R123" t="str">
        <f>UPPER(F123)</f>
        <v>OPS06</v>
      </c>
      <c r="S123" t="str">
        <f t="shared" si="12"/>
        <v>OPS06</v>
      </c>
      <c r="T123" t="s">
        <v>303</v>
      </c>
      <c r="U123" t="str">
        <f t="shared" si="13"/>
        <v>Melissa Rodriguez</v>
      </c>
      <c r="V123" t="str">
        <f t="shared" si="14"/>
        <v>Active</v>
      </c>
      <c r="W123" t="str">
        <f t="shared" si="15"/>
        <v>Active</v>
      </c>
    </row>
    <row r="124" spans="2:23" x14ac:dyDescent="0.25">
      <c r="B124" s="3" t="s">
        <v>169</v>
      </c>
      <c r="C124" t="s">
        <v>53</v>
      </c>
      <c r="D124" t="s">
        <v>27</v>
      </c>
      <c r="E124" t="s">
        <v>256</v>
      </c>
      <c r="F124" t="s">
        <v>74</v>
      </c>
      <c r="G124" s="4">
        <v>44112</v>
      </c>
      <c r="H124" s="8">
        <v>68092</v>
      </c>
      <c r="J124">
        <v>93</v>
      </c>
      <c r="L124" t="s">
        <v>38</v>
      </c>
      <c r="M124" t="str">
        <f>VLOOKUP(F124,Lookup_Departments!A:B,2,0)</f>
        <v>Human Resources</v>
      </c>
      <c r="N124" s="11">
        <f t="shared" ca="1" si="8"/>
        <v>5.7</v>
      </c>
      <c r="O124" s="11" t="str">
        <f t="shared" si="9"/>
        <v>Exceeding</v>
      </c>
      <c r="P124" s="11" t="str">
        <f t="shared" si="10"/>
        <v>0.08</v>
      </c>
      <c r="Q124" s="6">
        <f t="shared" si="11"/>
        <v>5447.36</v>
      </c>
      <c r="R124" t="str">
        <f>UPPER(F124)</f>
        <v>HR01</v>
      </c>
      <c r="S124" t="str">
        <f t="shared" si="12"/>
        <v>HR01</v>
      </c>
      <c r="T124" t="s">
        <v>256</v>
      </c>
      <c r="U124" t="str">
        <f t="shared" si="13"/>
        <v>James Johnson</v>
      </c>
      <c r="V124" t="str">
        <f t="shared" si="14"/>
        <v>Active</v>
      </c>
      <c r="W124" t="str">
        <f t="shared" si="15"/>
        <v>Active</v>
      </c>
    </row>
    <row r="125" spans="2:23" x14ac:dyDescent="0.25">
      <c r="B125" s="3" t="s">
        <v>170</v>
      </c>
      <c r="C125" t="s">
        <v>36</v>
      </c>
      <c r="D125" t="s">
        <v>30</v>
      </c>
      <c r="E125" t="s">
        <v>237</v>
      </c>
      <c r="F125" t="s">
        <v>15</v>
      </c>
      <c r="G125" s="4">
        <v>44596</v>
      </c>
      <c r="H125" s="8">
        <v>88155</v>
      </c>
      <c r="J125">
        <v>68</v>
      </c>
      <c r="L125" t="s">
        <v>38</v>
      </c>
      <c r="M125" t="str">
        <f>VLOOKUP(F125,Lookup_Departments!A:B,2,0)</f>
        <v>Marketing</v>
      </c>
      <c r="N125" s="11">
        <f t="shared" ca="1" si="8"/>
        <v>4.4000000000000004</v>
      </c>
      <c r="O125" s="11" t="str">
        <f t="shared" si="9"/>
        <v>Developing</v>
      </c>
      <c r="P125" s="11" t="str">
        <f t="shared" si="10"/>
        <v>0.02</v>
      </c>
      <c r="Q125" s="6">
        <f t="shared" si="11"/>
        <v>1763.1000000000001</v>
      </c>
      <c r="R125" t="str">
        <f>UPPER(F125)</f>
        <v>MKT04</v>
      </c>
      <c r="S125" t="str">
        <f t="shared" si="12"/>
        <v>MKT04</v>
      </c>
      <c r="T125" t="s">
        <v>237</v>
      </c>
      <c r="U125" t="str">
        <f t="shared" si="13"/>
        <v>Michael Wilson</v>
      </c>
      <c r="V125" t="str">
        <f t="shared" si="14"/>
        <v>Active</v>
      </c>
      <c r="W125" t="str">
        <f t="shared" si="15"/>
        <v>Active</v>
      </c>
    </row>
    <row r="126" spans="2:23" x14ac:dyDescent="0.25">
      <c r="B126" s="3" t="s">
        <v>171</v>
      </c>
      <c r="C126" t="s">
        <v>117</v>
      </c>
      <c r="D126" t="s">
        <v>48</v>
      </c>
      <c r="E126" t="s">
        <v>304</v>
      </c>
      <c r="F126" t="s">
        <v>15</v>
      </c>
      <c r="G126" s="4">
        <v>43183</v>
      </c>
      <c r="H126" s="8">
        <v>107903</v>
      </c>
      <c r="J126">
        <v>42</v>
      </c>
      <c r="L126" t="s">
        <v>38</v>
      </c>
      <c r="M126" t="str">
        <f>VLOOKUP(F126,Lookup_Departments!A:B,2,0)</f>
        <v>Marketing</v>
      </c>
      <c r="N126" s="11">
        <f t="shared" ca="1" si="8"/>
        <v>8.3000000000000007</v>
      </c>
      <c r="O126" s="11" t="str">
        <f t="shared" si="9"/>
        <v>Needs Improvement</v>
      </c>
      <c r="P126" s="11" t="str">
        <f t="shared" si="10"/>
        <v>0</v>
      </c>
      <c r="Q126" s="6">
        <f t="shared" si="11"/>
        <v>0</v>
      </c>
      <c r="R126" t="str">
        <f>UPPER(F126)</f>
        <v>MKT04</v>
      </c>
      <c r="S126" t="str">
        <f t="shared" si="12"/>
        <v>MKT04</v>
      </c>
      <c r="T126" t="s">
        <v>304</v>
      </c>
      <c r="U126" t="str">
        <f t="shared" si="13"/>
        <v>William Jones</v>
      </c>
      <c r="V126" t="str">
        <f t="shared" si="14"/>
        <v>Active</v>
      </c>
      <c r="W126" t="str">
        <f t="shared" si="15"/>
        <v>Active</v>
      </c>
    </row>
    <row r="127" spans="2:23" x14ac:dyDescent="0.25">
      <c r="B127" s="3" t="s">
        <v>172</v>
      </c>
      <c r="C127" t="s">
        <v>117</v>
      </c>
      <c r="D127" t="s">
        <v>44</v>
      </c>
      <c r="E127" t="s">
        <v>293</v>
      </c>
      <c r="F127" t="s">
        <v>11</v>
      </c>
      <c r="G127" s="4">
        <v>43305</v>
      </c>
      <c r="H127" s="8">
        <v>62818</v>
      </c>
      <c r="J127">
        <v>34</v>
      </c>
      <c r="L127" t="s">
        <v>38</v>
      </c>
      <c r="M127" t="str">
        <f>VLOOKUP(F127,Lookup_Departments!A:B,2,0)</f>
        <v>Information Technology</v>
      </c>
      <c r="N127" s="11">
        <f t="shared" ca="1" si="8"/>
        <v>8</v>
      </c>
      <c r="O127" s="11" t="str">
        <f t="shared" si="9"/>
        <v>Needs Improvement</v>
      </c>
      <c r="P127" s="11" t="str">
        <f t="shared" si="10"/>
        <v>0</v>
      </c>
      <c r="Q127" s="6">
        <f t="shared" si="11"/>
        <v>0</v>
      </c>
      <c r="R127" t="str">
        <f>UPPER(F127)</f>
        <v>IT02</v>
      </c>
      <c r="S127" t="str">
        <f t="shared" si="12"/>
        <v>IT02</v>
      </c>
      <c r="T127" t="s">
        <v>293</v>
      </c>
      <c r="U127" t="str">
        <f t="shared" si="13"/>
        <v>William Williams</v>
      </c>
      <c r="V127" t="str">
        <f t="shared" si="14"/>
        <v>Active</v>
      </c>
      <c r="W127" t="str">
        <f t="shared" si="15"/>
        <v>Active</v>
      </c>
    </row>
    <row r="128" spans="2:23" x14ac:dyDescent="0.25">
      <c r="B128" s="3" t="s">
        <v>173</v>
      </c>
      <c r="C128" t="s">
        <v>84</v>
      </c>
      <c r="D128" t="s">
        <v>44</v>
      </c>
      <c r="E128" t="s">
        <v>281</v>
      </c>
      <c r="F128" t="s">
        <v>74</v>
      </c>
      <c r="G128" s="4">
        <v>43301</v>
      </c>
      <c r="H128" s="8">
        <v>85151</v>
      </c>
      <c r="J128">
        <v>35</v>
      </c>
      <c r="L128" t="s">
        <v>38</v>
      </c>
      <c r="M128" t="str">
        <f>VLOOKUP(F128,Lookup_Departments!A:B,2,0)</f>
        <v>Human Resources</v>
      </c>
      <c r="N128" s="11">
        <f t="shared" ca="1" si="8"/>
        <v>8</v>
      </c>
      <c r="O128" s="11" t="str">
        <f t="shared" si="9"/>
        <v>Needs Improvement</v>
      </c>
      <c r="P128" s="11" t="str">
        <f t="shared" si="10"/>
        <v>0</v>
      </c>
      <c r="Q128" s="6">
        <f t="shared" si="11"/>
        <v>0</v>
      </c>
      <c r="R128" t="str">
        <f>UPPER(F128)</f>
        <v>HR01</v>
      </c>
      <c r="S128" t="str">
        <f t="shared" si="12"/>
        <v>HR01</v>
      </c>
      <c r="T128" t="s">
        <v>281</v>
      </c>
      <c r="U128" t="str">
        <f t="shared" si="13"/>
        <v>David Williams</v>
      </c>
      <c r="V128" t="str">
        <f t="shared" si="14"/>
        <v>Active</v>
      </c>
      <c r="W128" t="str">
        <f t="shared" si="15"/>
        <v>Active</v>
      </c>
    </row>
    <row r="129" spans="2:23" x14ac:dyDescent="0.25">
      <c r="B129" s="3" t="s">
        <v>174</v>
      </c>
      <c r="C129" t="s">
        <v>43</v>
      </c>
      <c r="D129" t="s">
        <v>51</v>
      </c>
      <c r="E129" t="s">
        <v>257</v>
      </c>
      <c r="F129" t="s">
        <v>21</v>
      </c>
      <c r="G129" s="4">
        <v>42463</v>
      </c>
      <c r="H129" s="8">
        <v>46390</v>
      </c>
      <c r="J129">
        <v>95</v>
      </c>
      <c r="L129" t="s">
        <v>38</v>
      </c>
      <c r="M129" t="str">
        <f>VLOOKUP(F129,Lookup_Departments!A:B,2,0)</f>
        <v>Finance</v>
      </c>
      <c r="N129" s="11">
        <f t="shared" ca="1" si="8"/>
        <v>10.3</v>
      </c>
      <c r="O129" s="11" t="str">
        <f t="shared" si="9"/>
        <v>Exceeding</v>
      </c>
      <c r="P129" s="11" t="str">
        <f t="shared" si="10"/>
        <v>0.08</v>
      </c>
      <c r="Q129" s="6">
        <f t="shared" si="11"/>
        <v>3711.2000000000003</v>
      </c>
      <c r="R129" t="str">
        <f>UPPER(F129)</f>
        <v>FIN03</v>
      </c>
      <c r="S129" t="str">
        <f t="shared" si="12"/>
        <v>FIN03</v>
      </c>
      <c r="T129" t="s">
        <v>257</v>
      </c>
      <c r="U129" t="str">
        <f t="shared" si="13"/>
        <v>Jane Davis</v>
      </c>
      <c r="V129" t="str">
        <f t="shared" si="14"/>
        <v>Active</v>
      </c>
      <c r="W129" t="str">
        <f t="shared" si="15"/>
        <v>Active</v>
      </c>
    </row>
    <row r="130" spans="2:23" hidden="1" x14ac:dyDescent="0.25">
      <c r="B130" s="3" t="s">
        <v>175</v>
      </c>
      <c r="C130" t="s">
        <v>19</v>
      </c>
      <c r="D130" t="s">
        <v>20</v>
      </c>
      <c r="E130" t="s">
        <v>217</v>
      </c>
      <c r="F130" t="s">
        <v>74</v>
      </c>
      <c r="G130" s="4">
        <v>44643</v>
      </c>
      <c r="H130" s="8">
        <v>111920</v>
      </c>
      <c r="J130">
        <v>90</v>
      </c>
      <c r="L130" t="s">
        <v>25</v>
      </c>
      <c r="M130" t="str">
        <f>VLOOKUP(F130,Lookup_Departments!A:B,2,0)</f>
        <v>Human Resources</v>
      </c>
      <c r="N130" s="11">
        <f t="shared" ca="1" si="8"/>
        <v>4.3</v>
      </c>
      <c r="O130" s="11" t="str">
        <f t="shared" si="9"/>
        <v>Exceeding</v>
      </c>
      <c r="P130" s="11" t="str">
        <f t="shared" si="10"/>
        <v>0.08</v>
      </c>
      <c r="Q130" s="6">
        <f t="shared" si="11"/>
        <v>8953.6</v>
      </c>
      <c r="R130" t="str">
        <f>UPPER(F130)</f>
        <v>HR01</v>
      </c>
      <c r="S130" t="str">
        <f t="shared" si="12"/>
        <v>HR01</v>
      </c>
      <c r="T130" t="s">
        <v>217</v>
      </c>
      <c r="U130" t="str">
        <f t="shared" si="13"/>
        <v>John Martinez</v>
      </c>
      <c r="V130" t="str">
        <f t="shared" si="14"/>
        <v>Left</v>
      </c>
      <c r="W130" t="str">
        <f t="shared" si="15"/>
        <v>Left</v>
      </c>
    </row>
    <row r="131" spans="2:23" x14ac:dyDescent="0.25">
      <c r="B131" s="3" t="s">
        <v>176</v>
      </c>
      <c r="C131" t="s">
        <v>84</v>
      </c>
      <c r="D131" t="s">
        <v>101</v>
      </c>
      <c r="E131" t="s">
        <v>305</v>
      </c>
      <c r="F131" t="s">
        <v>74</v>
      </c>
      <c r="G131" s="4">
        <v>42944</v>
      </c>
      <c r="H131" s="8">
        <v>115618</v>
      </c>
      <c r="J131">
        <v>42</v>
      </c>
      <c r="L131" t="s">
        <v>38</v>
      </c>
      <c r="M131" t="str">
        <f>VLOOKUP(F131,Lookup_Departments!A:B,2,0)</f>
        <v>Human Resources</v>
      </c>
      <c r="N131" s="11">
        <f t="shared" ref="N131:N158" ca="1" si="16">ROUND((TODAY()-((G:G)))/365.25,1)</f>
        <v>8.9</v>
      </c>
      <c r="O131" s="11" t="str">
        <f t="shared" ref="O131:O158" si="17">IF(J131&gt;95,"Outstanding",IF(J131&gt;85,"Exceeding",IF(J131&gt;70,"Achieving",IF(J131&gt;50,"Developing",IF(J131&lt;50,"Needs Improvement","Needs Improvement")))))</f>
        <v>Needs Improvement</v>
      </c>
      <c r="P131" s="11" t="str">
        <f t="shared" ref="P131:P158" si="18">IF(J131&gt;95,"0.12",IF(J131&gt;85,"0.08",IF(J131&gt;70,"0.05",IF(J131&gt;50,"0.02",IF(J131&lt;50,"0","0")))))</f>
        <v>0</v>
      </c>
      <c r="Q131" s="6">
        <f t="shared" ref="Q131:Q158" si="19">H131*P131</f>
        <v>0</v>
      </c>
      <c r="R131" t="str">
        <f>UPPER(F131)</f>
        <v>HR01</v>
      </c>
      <c r="S131" t="str">
        <f t="shared" ref="S131:S151" si="20">TRIM(R131)</f>
        <v>HR01</v>
      </c>
      <c r="T131" t="s">
        <v>305</v>
      </c>
      <c r="U131" t="str">
        <f t="shared" ref="U131:U158" si="21">TRIM(T131)</f>
        <v>David Anderson</v>
      </c>
      <c r="V131" t="str">
        <f t="shared" ref="V131:V158" si="22">PROPER(L131)</f>
        <v>Active</v>
      </c>
      <c r="W131" t="str">
        <f t="shared" ref="W131:W151" si="23">TRIM(V131)</f>
        <v>Active</v>
      </c>
    </row>
    <row r="132" spans="2:23" hidden="1" x14ac:dyDescent="0.25">
      <c r="B132" s="3" t="s">
        <v>177</v>
      </c>
      <c r="C132" t="s">
        <v>72</v>
      </c>
      <c r="D132" t="s">
        <v>24</v>
      </c>
      <c r="E132" t="s">
        <v>306</v>
      </c>
      <c r="F132" t="s">
        <v>37</v>
      </c>
      <c r="G132" s="4">
        <v>45057</v>
      </c>
      <c r="H132" s="8">
        <v>110618</v>
      </c>
      <c r="J132">
        <v>88</v>
      </c>
      <c r="L132" t="s">
        <v>86</v>
      </c>
      <c r="M132" t="str">
        <f>VLOOKUP(F132,Lookup_Departments!A:B,2,0)</f>
        <v>Sales</v>
      </c>
      <c r="N132" s="11">
        <f t="shared" ca="1" si="16"/>
        <v>3.2</v>
      </c>
      <c r="O132" s="11" t="str">
        <f t="shared" si="17"/>
        <v>Exceeding</v>
      </c>
      <c r="P132" s="11" t="str">
        <f t="shared" si="18"/>
        <v>0.08</v>
      </c>
      <c r="Q132" s="6">
        <f t="shared" si="19"/>
        <v>8849.44</v>
      </c>
      <c r="R132" t="str">
        <f>UPPER(F132)</f>
        <v>SAL05</v>
      </c>
      <c r="S132" t="str">
        <f t="shared" si="20"/>
        <v>SAL05</v>
      </c>
      <c r="T132" t="s">
        <v>306</v>
      </c>
      <c r="U132" t="str">
        <f t="shared" si="21"/>
        <v>Sarah Smith</v>
      </c>
      <c r="V132" t="str">
        <f t="shared" si="22"/>
        <v>Resigned</v>
      </c>
      <c r="W132" t="str">
        <f t="shared" si="23"/>
        <v>Resigned</v>
      </c>
    </row>
    <row r="133" spans="2:23" hidden="1" x14ac:dyDescent="0.25">
      <c r="B133" s="3" t="s">
        <v>178</v>
      </c>
      <c r="C133" t="s">
        <v>79</v>
      </c>
      <c r="D133" t="s">
        <v>14</v>
      </c>
      <c r="E133" t="s">
        <v>307</v>
      </c>
      <c r="F133" t="s">
        <v>28</v>
      </c>
      <c r="G133" s="4">
        <v>44639</v>
      </c>
      <c r="H133" s="8">
        <v>108395</v>
      </c>
      <c r="J133">
        <v>78</v>
      </c>
      <c r="L133" t="s">
        <v>25</v>
      </c>
      <c r="M133" t="str">
        <f>VLOOKUP(F133,Lookup_Departments!A:B,2,0)</f>
        <v>Operations</v>
      </c>
      <c r="N133" s="11">
        <f t="shared" ca="1" si="16"/>
        <v>4.3</v>
      </c>
      <c r="O133" s="11" t="str">
        <f t="shared" si="17"/>
        <v>Achieving</v>
      </c>
      <c r="P133" s="11" t="str">
        <f t="shared" si="18"/>
        <v>0.05</v>
      </c>
      <c r="Q133" s="6">
        <f t="shared" si="19"/>
        <v>5419.75</v>
      </c>
      <c r="R133" t="str">
        <f>UPPER(F133)</f>
        <v>OPS06</v>
      </c>
      <c r="S133" t="str">
        <f t="shared" si="20"/>
        <v>OPS06</v>
      </c>
      <c r="T133" t="s">
        <v>307</v>
      </c>
      <c r="U133" t="str">
        <f t="shared" si="21"/>
        <v>Melissa Hernandez</v>
      </c>
      <c r="V133" t="str">
        <f t="shared" si="22"/>
        <v>Left</v>
      </c>
      <c r="W133" t="str">
        <f t="shared" si="23"/>
        <v>Left</v>
      </c>
    </row>
    <row r="134" spans="2:23" x14ac:dyDescent="0.25">
      <c r="B134" s="3" t="s">
        <v>179</v>
      </c>
      <c r="C134" t="s">
        <v>79</v>
      </c>
      <c r="D134" t="s">
        <v>27</v>
      </c>
      <c r="E134" t="s">
        <v>253</v>
      </c>
      <c r="F134" t="s">
        <v>21</v>
      </c>
      <c r="G134" s="4">
        <v>43091</v>
      </c>
      <c r="H134" s="8">
        <v>88005</v>
      </c>
      <c r="J134">
        <v>69</v>
      </c>
      <c r="L134" t="s">
        <v>38</v>
      </c>
      <c r="M134" t="str">
        <f>VLOOKUP(F134,Lookup_Departments!A:B,2,0)</f>
        <v>Finance</v>
      </c>
      <c r="N134" s="11">
        <f t="shared" ca="1" si="16"/>
        <v>8.5</v>
      </c>
      <c r="O134" s="11" t="str">
        <f t="shared" si="17"/>
        <v>Developing</v>
      </c>
      <c r="P134" s="11" t="str">
        <f t="shared" si="18"/>
        <v>0.02</v>
      </c>
      <c r="Q134" s="6">
        <f t="shared" si="19"/>
        <v>1760.1000000000001</v>
      </c>
      <c r="R134" t="str">
        <f>UPPER(F134)</f>
        <v>FIN03</v>
      </c>
      <c r="S134" t="str">
        <f t="shared" si="20"/>
        <v>FIN03</v>
      </c>
      <c r="T134" t="s">
        <v>253</v>
      </c>
      <c r="U134" t="str">
        <f t="shared" si="21"/>
        <v>Melissa Johnson</v>
      </c>
      <c r="V134" t="str">
        <f t="shared" si="22"/>
        <v>Active</v>
      </c>
      <c r="W134" t="str">
        <f t="shared" si="23"/>
        <v>Active</v>
      </c>
    </row>
    <row r="135" spans="2:23" x14ac:dyDescent="0.25">
      <c r="B135" s="3" t="s">
        <v>180</v>
      </c>
      <c r="C135" t="s">
        <v>43</v>
      </c>
      <c r="D135" t="s">
        <v>99</v>
      </c>
      <c r="E135" t="s">
        <v>308</v>
      </c>
      <c r="F135" t="s">
        <v>15</v>
      </c>
      <c r="G135" s="4">
        <v>44437</v>
      </c>
      <c r="H135" s="8">
        <v>83007</v>
      </c>
      <c r="J135">
        <v>82</v>
      </c>
      <c r="L135" t="s">
        <v>38</v>
      </c>
      <c r="M135" t="str">
        <f>VLOOKUP(F135,Lookup_Departments!A:B,2,0)</f>
        <v>Marketing</v>
      </c>
      <c r="N135" s="11">
        <f t="shared" ca="1" si="16"/>
        <v>4.9000000000000004</v>
      </c>
      <c r="O135" s="11" t="str">
        <f t="shared" si="17"/>
        <v>Achieving</v>
      </c>
      <c r="P135" s="11" t="str">
        <f t="shared" si="18"/>
        <v>0.05</v>
      </c>
      <c r="Q135" s="6">
        <f t="shared" si="19"/>
        <v>4150.3500000000004</v>
      </c>
      <c r="R135" t="str">
        <f>UPPER(F135)</f>
        <v>MKT04</v>
      </c>
      <c r="S135" t="str">
        <f t="shared" si="20"/>
        <v>MKT04</v>
      </c>
      <c r="T135" t="s">
        <v>308</v>
      </c>
      <c r="U135" t="str">
        <f t="shared" si="21"/>
        <v>Jane Garcia</v>
      </c>
      <c r="V135" t="str">
        <f t="shared" si="22"/>
        <v>Active</v>
      </c>
      <c r="W135" t="str">
        <f t="shared" si="23"/>
        <v>Active</v>
      </c>
    </row>
    <row r="136" spans="2:23" x14ac:dyDescent="0.25">
      <c r="B136" s="3" t="s">
        <v>181</v>
      </c>
      <c r="C136" t="s">
        <v>84</v>
      </c>
      <c r="D136" t="s">
        <v>51</v>
      </c>
      <c r="E136" t="s">
        <v>309</v>
      </c>
      <c r="F136" t="s">
        <v>11</v>
      </c>
      <c r="G136" s="4">
        <v>43360</v>
      </c>
      <c r="H136" s="8">
        <v>61547</v>
      </c>
      <c r="J136">
        <v>68</v>
      </c>
      <c r="L136" t="s">
        <v>38</v>
      </c>
      <c r="M136" t="str">
        <f>VLOOKUP(F136,Lookup_Departments!A:B,2,0)</f>
        <v>Information Technology</v>
      </c>
      <c r="N136" s="11">
        <f t="shared" ca="1" si="16"/>
        <v>7.8</v>
      </c>
      <c r="O136" s="11" t="str">
        <f t="shared" si="17"/>
        <v>Developing</v>
      </c>
      <c r="P136" s="11" t="str">
        <f t="shared" si="18"/>
        <v>0.02</v>
      </c>
      <c r="Q136" s="6">
        <f t="shared" si="19"/>
        <v>1230.94</v>
      </c>
      <c r="R136" t="str">
        <f>UPPER(F136)</f>
        <v>IT02</v>
      </c>
      <c r="S136" t="str">
        <f t="shared" si="20"/>
        <v>IT02</v>
      </c>
      <c r="T136" t="s">
        <v>309</v>
      </c>
      <c r="U136" t="str">
        <f t="shared" si="21"/>
        <v>David Davis</v>
      </c>
      <c r="V136" t="str">
        <f t="shared" si="22"/>
        <v>Active</v>
      </c>
      <c r="W136" t="str">
        <f t="shared" si="23"/>
        <v>Active</v>
      </c>
    </row>
    <row r="137" spans="2:23" x14ac:dyDescent="0.25">
      <c r="B137" s="3" t="s">
        <v>182</v>
      </c>
      <c r="C137" t="s">
        <v>53</v>
      </c>
      <c r="D137" t="s">
        <v>30</v>
      </c>
      <c r="E137" t="s">
        <v>310</v>
      </c>
      <c r="F137" t="s">
        <v>37</v>
      </c>
      <c r="G137" s="4">
        <v>44375</v>
      </c>
      <c r="H137" s="8">
        <v>83604</v>
      </c>
      <c r="J137">
        <v>52</v>
      </c>
      <c r="L137" t="s">
        <v>38</v>
      </c>
      <c r="M137" t="str">
        <f>VLOOKUP(F137,Lookup_Departments!A:B,2,0)</f>
        <v>Sales</v>
      </c>
      <c r="N137" s="11">
        <f t="shared" ca="1" si="16"/>
        <v>5</v>
      </c>
      <c r="O137" s="11" t="str">
        <f t="shared" si="17"/>
        <v>Developing</v>
      </c>
      <c r="P137" s="11" t="str">
        <f t="shared" si="18"/>
        <v>0.02</v>
      </c>
      <c r="Q137" s="6">
        <f t="shared" si="19"/>
        <v>1672.08</v>
      </c>
      <c r="R137" t="str">
        <f>UPPER(F137)</f>
        <v>SAL05</v>
      </c>
      <c r="S137" t="str">
        <f t="shared" si="20"/>
        <v>SAL05</v>
      </c>
      <c r="T137" t="s">
        <v>310</v>
      </c>
      <c r="U137" t="str">
        <f t="shared" si="21"/>
        <v>James Wilson</v>
      </c>
      <c r="V137" t="str">
        <f t="shared" si="22"/>
        <v>Active</v>
      </c>
      <c r="W137" t="str">
        <f t="shared" si="23"/>
        <v>Active</v>
      </c>
    </row>
    <row r="138" spans="2:23" hidden="1" x14ac:dyDescent="0.25">
      <c r="B138" s="3" t="s">
        <v>183</v>
      </c>
      <c r="C138" t="s">
        <v>13</v>
      </c>
      <c r="D138" t="s">
        <v>27</v>
      </c>
      <c r="E138" t="s">
        <v>311</v>
      </c>
      <c r="F138" t="s">
        <v>28</v>
      </c>
      <c r="G138" s="4">
        <v>42804</v>
      </c>
      <c r="H138" s="8">
        <v>50399</v>
      </c>
      <c r="J138">
        <v>92</v>
      </c>
      <c r="L138" t="s">
        <v>25</v>
      </c>
      <c r="M138" t="str">
        <f>VLOOKUP(F138,Lookup_Departments!A:B,2,0)</f>
        <v>Operations</v>
      </c>
      <c r="N138" s="11">
        <f t="shared" ca="1" si="16"/>
        <v>9.3000000000000007</v>
      </c>
      <c r="O138" s="11" t="str">
        <f t="shared" si="17"/>
        <v>Exceeding</v>
      </c>
      <c r="P138" s="11" t="str">
        <f t="shared" si="18"/>
        <v>0.08</v>
      </c>
      <c r="Q138" s="6">
        <f t="shared" si="19"/>
        <v>4031.92</v>
      </c>
      <c r="R138" t="str">
        <f>UPPER(F138)</f>
        <v>OPS06</v>
      </c>
      <c r="S138" t="str">
        <f t="shared" si="20"/>
        <v>OPS06</v>
      </c>
      <c r="T138" t="s">
        <v>311</v>
      </c>
      <c r="U138" t="str">
        <f t="shared" si="21"/>
        <v>Richard Johnson</v>
      </c>
      <c r="V138" t="str">
        <f t="shared" si="22"/>
        <v>Left</v>
      </c>
      <c r="W138" t="str">
        <f t="shared" si="23"/>
        <v>Left</v>
      </c>
    </row>
    <row r="139" spans="2:23" x14ac:dyDescent="0.25">
      <c r="B139" s="3" t="s">
        <v>184</v>
      </c>
      <c r="C139" t="s">
        <v>13</v>
      </c>
      <c r="D139" t="s">
        <v>44</v>
      </c>
      <c r="E139" t="s">
        <v>312</v>
      </c>
      <c r="F139" t="s">
        <v>21</v>
      </c>
      <c r="G139" s="4">
        <v>42299</v>
      </c>
      <c r="H139" s="8">
        <v>83604</v>
      </c>
      <c r="J139">
        <v>62</v>
      </c>
      <c r="L139" t="s">
        <v>38</v>
      </c>
      <c r="M139" t="str">
        <f>VLOOKUP(F139,Lookup_Departments!A:B,2,0)</f>
        <v>Finance</v>
      </c>
      <c r="N139" s="11">
        <f t="shared" ca="1" si="16"/>
        <v>10.7</v>
      </c>
      <c r="O139" s="11" t="str">
        <f t="shared" si="17"/>
        <v>Developing</v>
      </c>
      <c r="P139" s="11" t="str">
        <f t="shared" si="18"/>
        <v>0.02</v>
      </c>
      <c r="Q139" s="6">
        <f t="shared" si="19"/>
        <v>1672.08</v>
      </c>
      <c r="R139" t="str">
        <f>UPPER(F139)</f>
        <v>FIN03</v>
      </c>
      <c r="S139" t="str">
        <f t="shared" si="20"/>
        <v>FIN03</v>
      </c>
      <c r="T139" t="s">
        <v>312</v>
      </c>
      <c r="U139" t="str">
        <f t="shared" si="21"/>
        <v>Richard Williams</v>
      </c>
      <c r="V139" t="str">
        <f t="shared" si="22"/>
        <v>Active</v>
      </c>
      <c r="W139" t="str">
        <f t="shared" si="23"/>
        <v>Active</v>
      </c>
    </row>
    <row r="140" spans="2:23" x14ac:dyDescent="0.25">
      <c r="B140" s="3" t="s">
        <v>185</v>
      </c>
      <c r="C140" t="s">
        <v>19</v>
      </c>
      <c r="D140" t="s">
        <v>14</v>
      </c>
      <c r="E140" t="s">
        <v>313</v>
      </c>
      <c r="F140" t="s">
        <v>28</v>
      </c>
      <c r="G140" s="4">
        <v>43257</v>
      </c>
      <c r="H140" s="8">
        <v>52720</v>
      </c>
      <c r="J140">
        <v>68</v>
      </c>
      <c r="L140" t="s">
        <v>38</v>
      </c>
      <c r="M140" t="str">
        <f>VLOOKUP(F140,Lookup_Departments!A:B,2,0)</f>
        <v>Operations</v>
      </c>
      <c r="N140" s="11">
        <f t="shared" ca="1" si="16"/>
        <v>8.1</v>
      </c>
      <c r="O140" s="11" t="str">
        <f t="shared" si="17"/>
        <v>Developing</v>
      </c>
      <c r="P140" s="11" t="str">
        <f t="shared" si="18"/>
        <v>0.02</v>
      </c>
      <c r="Q140" s="6">
        <f t="shared" si="19"/>
        <v>1054.4000000000001</v>
      </c>
      <c r="R140" t="str">
        <f>UPPER(F140)</f>
        <v>OPS06</v>
      </c>
      <c r="S140" t="str">
        <f t="shared" si="20"/>
        <v>OPS06</v>
      </c>
      <c r="T140" t="s">
        <v>313</v>
      </c>
      <c r="U140" t="str">
        <f t="shared" si="21"/>
        <v>John Hernandez</v>
      </c>
      <c r="V140" t="str">
        <f t="shared" si="22"/>
        <v>Active</v>
      </c>
      <c r="W140" t="str">
        <f t="shared" si="23"/>
        <v>Active</v>
      </c>
    </row>
    <row r="141" spans="2:23" x14ac:dyDescent="0.25">
      <c r="B141" s="3" t="s">
        <v>186</v>
      </c>
      <c r="C141" t="s">
        <v>72</v>
      </c>
      <c r="D141" t="s">
        <v>17</v>
      </c>
      <c r="E141" t="s">
        <v>314</v>
      </c>
      <c r="F141" t="s">
        <v>28</v>
      </c>
      <c r="G141" s="4">
        <v>42932</v>
      </c>
      <c r="H141" s="8">
        <v>65065</v>
      </c>
      <c r="J141">
        <v>98</v>
      </c>
      <c r="L141" t="s">
        <v>38</v>
      </c>
      <c r="M141" t="str">
        <f>VLOOKUP(F141,Lookup_Departments!A:B,2,0)</f>
        <v>Operations</v>
      </c>
      <c r="N141" s="11">
        <f t="shared" ca="1" si="16"/>
        <v>9</v>
      </c>
      <c r="O141" s="11" t="str">
        <f t="shared" si="17"/>
        <v>Outstanding</v>
      </c>
      <c r="P141" s="11" t="str">
        <f t="shared" si="18"/>
        <v>0.12</v>
      </c>
      <c r="Q141" s="6">
        <f t="shared" si="19"/>
        <v>7807.7999999999993</v>
      </c>
      <c r="R141" t="str">
        <f>UPPER(F141)</f>
        <v>OPS06</v>
      </c>
      <c r="S141" t="str">
        <f t="shared" si="20"/>
        <v>OPS06</v>
      </c>
      <c r="T141" t="s">
        <v>314</v>
      </c>
      <c r="U141" t="str">
        <f t="shared" si="21"/>
        <v>Sarah Gonzalez</v>
      </c>
      <c r="V141" t="str">
        <f t="shared" si="22"/>
        <v>Active</v>
      </c>
      <c r="W141" t="str">
        <f t="shared" si="23"/>
        <v>Active</v>
      </c>
    </row>
    <row r="142" spans="2:23" hidden="1" x14ac:dyDescent="0.25">
      <c r="B142" s="3" t="s">
        <v>187</v>
      </c>
      <c r="C142" t="s">
        <v>79</v>
      </c>
      <c r="D142" t="s">
        <v>14</v>
      </c>
      <c r="E142" t="s">
        <v>307</v>
      </c>
      <c r="F142" t="s">
        <v>37</v>
      </c>
      <c r="G142" s="4">
        <v>42175</v>
      </c>
      <c r="H142" s="8">
        <v>83604</v>
      </c>
      <c r="J142">
        <v>94</v>
      </c>
      <c r="L142" t="s">
        <v>86</v>
      </c>
      <c r="M142" t="str">
        <f>VLOOKUP(F142,Lookup_Departments!A:B,2,0)</f>
        <v>Sales</v>
      </c>
      <c r="N142" s="11">
        <f t="shared" ca="1" si="16"/>
        <v>11</v>
      </c>
      <c r="O142" s="11" t="str">
        <f t="shared" si="17"/>
        <v>Exceeding</v>
      </c>
      <c r="P142" s="11" t="str">
        <f t="shared" si="18"/>
        <v>0.08</v>
      </c>
      <c r="Q142" s="6">
        <f t="shared" si="19"/>
        <v>6688.32</v>
      </c>
      <c r="R142" t="str">
        <f>UPPER(F142)</f>
        <v>SAL05</v>
      </c>
      <c r="S142" t="str">
        <f t="shared" si="20"/>
        <v>SAL05</v>
      </c>
      <c r="T142" t="s">
        <v>307</v>
      </c>
      <c r="U142" t="str">
        <f t="shared" si="21"/>
        <v>Melissa Hernandez</v>
      </c>
      <c r="V142" t="str">
        <f t="shared" si="22"/>
        <v>Resigned</v>
      </c>
      <c r="W142" t="str">
        <f t="shared" si="23"/>
        <v>Resigned</v>
      </c>
    </row>
    <row r="143" spans="2:23" hidden="1" x14ac:dyDescent="0.25">
      <c r="B143" s="3" t="s">
        <v>188</v>
      </c>
      <c r="C143" t="s">
        <v>79</v>
      </c>
      <c r="D143" t="s">
        <v>14</v>
      </c>
      <c r="E143" t="s">
        <v>307</v>
      </c>
      <c r="F143" t="s">
        <v>28</v>
      </c>
      <c r="G143" s="4">
        <v>43609</v>
      </c>
      <c r="H143" s="8">
        <v>108119</v>
      </c>
      <c r="J143">
        <v>57</v>
      </c>
      <c r="L143" t="s">
        <v>86</v>
      </c>
      <c r="M143" t="str">
        <f>VLOOKUP(F143,Lookup_Departments!A:B,2,0)</f>
        <v>Operations</v>
      </c>
      <c r="N143" s="11">
        <f t="shared" ca="1" si="16"/>
        <v>7.1</v>
      </c>
      <c r="O143" s="11" t="str">
        <f t="shared" si="17"/>
        <v>Developing</v>
      </c>
      <c r="P143" s="11" t="str">
        <f t="shared" si="18"/>
        <v>0.02</v>
      </c>
      <c r="Q143" s="6">
        <f t="shared" si="19"/>
        <v>2162.38</v>
      </c>
      <c r="R143" t="str">
        <f>UPPER(F143)</f>
        <v>OPS06</v>
      </c>
      <c r="S143" t="str">
        <f t="shared" si="20"/>
        <v>OPS06</v>
      </c>
      <c r="T143" t="s">
        <v>307</v>
      </c>
      <c r="U143" t="str">
        <f t="shared" si="21"/>
        <v>Melissa Hernandez</v>
      </c>
      <c r="V143" t="str">
        <f t="shared" si="22"/>
        <v>Resigned</v>
      </c>
      <c r="W143" t="str">
        <f t="shared" si="23"/>
        <v>Resigned</v>
      </c>
    </row>
    <row r="144" spans="2:23" x14ac:dyDescent="0.25">
      <c r="B144" s="3" t="s">
        <v>189</v>
      </c>
      <c r="C144" t="s">
        <v>19</v>
      </c>
      <c r="D144" t="s">
        <v>51</v>
      </c>
      <c r="E144" t="s">
        <v>255</v>
      </c>
      <c r="F144" t="s">
        <v>11</v>
      </c>
      <c r="G144" s="4">
        <v>43887</v>
      </c>
      <c r="H144" s="8">
        <v>83604</v>
      </c>
      <c r="J144">
        <v>96</v>
      </c>
      <c r="L144" t="s">
        <v>38</v>
      </c>
      <c r="M144" t="str">
        <f>VLOOKUP(F144,Lookup_Departments!A:B,2,0)</f>
        <v>Information Technology</v>
      </c>
      <c r="N144" s="11">
        <f t="shared" ca="1" si="16"/>
        <v>6.4</v>
      </c>
      <c r="O144" s="11" t="str">
        <f t="shared" si="17"/>
        <v>Outstanding</v>
      </c>
      <c r="P144" s="11" t="str">
        <f t="shared" si="18"/>
        <v>0.12</v>
      </c>
      <c r="Q144" s="6">
        <f t="shared" si="19"/>
        <v>10032.48</v>
      </c>
      <c r="R144" t="str">
        <f>UPPER(F144)</f>
        <v>IT02</v>
      </c>
      <c r="S144" t="str">
        <f t="shared" si="20"/>
        <v>IT02</v>
      </c>
      <c r="T144" t="s">
        <v>255</v>
      </c>
      <c r="U144" t="str">
        <f t="shared" si="21"/>
        <v>John Davis</v>
      </c>
      <c r="V144" t="str">
        <f t="shared" si="22"/>
        <v>Active</v>
      </c>
      <c r="W144" t="str">
        <f t="shared" si="23"/>
        <v>Active</v>
      </c>
    </row>
    <row r="145" spans="2:23" hidden="1" x14ac:dyDescent="0.25">
      <c r="B145" s="3" t="s">
        <v>190</v>
      </c>
      <c r="C145" t="s">
        <v>13</v>
      </c>
      <c r="D145" t="s">
        <v>51</v>
      </c>
      <c r="E145" t="s">
        <v>258</v>
      </c>
      <c r="F145" t="s">
        <v>74</v>
      </c>
      <c r="G145" s="4">
        <v>45080</v>
      </c>
      <c r="H145" s="8">
        <v>106896</v>
      </c>
      <c r="J145">
        <v>52</v>
      </c>
      <c r="L145" t="s">
        <v>25</v>
      </c>
      <c r="M145" t="str">
        <f>VLOOKUP(F145,Lookup_Departments!A:B,2,0)</f>
        <v>Human Resources</v>
      </c>
      <c r="N145" s="11">
        <f t="shared" ca="1" si="16"/>
        <v>3.1</v>
      </c>
      <c r="O145" s="11" t="str">
        <f t="shared" si="17"/>
        <v>Developing</v>
      </c>
      <c r="P145" s="11" t="str">
        <f t="shared" si="18"/>
        <v>0.02</v>
      </c>
      <c r="Q145" s="6">
        <f t="shared" si="19"/>
        <v>2137.92</v>
      </c>
      <c r="R145" t="str">
        <f>UPPER(F145)</f>
        <v>HR01</v>
      </c>
      <c r="S145" t="str">
        <f t="shared" si="20"/>
        <v>HR01</v>
      </c>
      <c r="T145" t="s">
        <v>258</v>
      </c>
      <c r="U145" t="str">
        <f t="shared" si="21"/>
        <v>Richard Davis</v>
      </c>
      <c r="V145" t="str">
        <f t="shared" si="22"/>
        <v>Left</v>
      </c>
      <c r="W145" t="str">
        <f t="shared" si="23"/>
        <v>Left</v>
      </c>
    </row>
    <row r="146" spans="2:23" x14ac:dyDescent="0.25">
      <c r="B146" s="3" t="s">
        <v>191</v>
      </c>
      <c r="C146" t="s">
        <v>48</v>
      </c>
      <c r="D146" t="s">
        <v>48</v>
      </c>
      <c r="E146" t="s">
        <v>324</v>
      </c>
      <c r="F146" t="s">
        <v>11</v>
      </c>
      <c r="G146" s="4">
        <v>43477</v>
      </c>
      <c r="H146" s="8">
        <v>112887</v>
      </c>
      <c r="J146">
        <v>59</v>
      </c>
      <c r="L146" t="s">
        <v>38</v>
      </c>
      <c r="M146" t="str">
        <f>VLOOKUP(F146,Lookup_Departments!A:B,2,0)</f>
        <v>Information Technology</v>
      </c>
      <c r="N146" s="11">
        <f t="shared" ca="1" si="16"/>
        <v>7.5</v>
      </c>
      <c r="O146" s="11" t="str">
        <f t="shared" si="17"/>
        <v>Developing</v>
      </c>
      <c r="P146" s="11" t="str">
        <f t="shared" si="18"/>
        <v>0.02</v>
      </c>
      <c r="Q146" s="6">
        <f t="shared" si="19"/>
        <v>2257.7400000000002</v>
      </c>
      <c r="R146" t="str">
        <f>UPPER(F146)</f>
        <v>IT02</v>
      </c>
      <c r="S146" t="str">
        <f t="shared" si="20"/>
        <v>IT02</v>
      </c>
      <c r="T146" t="s">
        <v>324</v>
      </c>
      <c r="U146" t="str">
        <f t="shared" si="21"/>
        <v>Jones Jones</v>
      </c>
      <c r="V146" t="str">
        <f t="shared" si="22"/>
        <v>Active</v>
      </c>
      <c r="W146" t="str">
        <f t="shared" si="23"/>
        <v>Active</v>
      </c>
    </row>
    <row r="147" spans="2:23" x14ac:dyDescent="0.25">
      <c r="B147" s="3" t="s">
        <v>192</v>
      </c>
      <c r="C147" t="s">
        <v>117</v>
      </c>
      <c r="D147" t="s">
        <v>34</v>
      </c>
      <c r="E147" t="s">
        <v>315</v>
      </c>
      <c r="F147" t="s">
        <v>21</v>
      </c>
      <c r="G147" s="4">
        <v>45037</v>
      </c>
      <c r="H147" s="8">
        <v>85457</v>
      </c>
      <c r="J147">
        <v>79</v>
      </c>
      <c r="L147" t="s">
        <v>38</v>
      </c>
      <c r="M147" t="str">
        <f>VLOOKUP(F147,Lookup_Departments!A:B,2,0)</f>
        <v>Finance</v>
      </c>
      <c r="N147" s="11">
        <f t="shared" ca="1" si="16"/>
        <v>3.2</v>
      </c>
      <c r="O147" s="11" t="str">
        <f t="shared" si="17"/>
        <v>Achieving</v>
      </c>
      <c r="P147" s="11" t="str">
        <f t="shared" si="18"/>
        <v>0.05</v>
      </c>
      <c r="Q147" s="6">
        <f t="shared" si="19"/>
        <v>4272.8500000000004</v>
      </c>
      <c r="R147" t="str">
        <f>UPPER(F147)</f>
        <v>FIN03</v>
      </c>
      <c r="S147" t="str">
        <f t="shared" si="20"/>
        <v>FIN03</v>
      </c>
      <c r="T147" t="s">
        <v>315</v>
      </c>
      <c r="U147" t="str">
        <f t="shared" si="21"/>
        <v>William Rodriguez</v>
      </c>
      <c r="V147" t="str">
        <f t="shared" si="22"/>
        <v>Active</v>
      </c>
      <c r="W147" t="str">
        <f t="shared" si="23"/>
        <v>Active</v>
      </c>
    </row>
    <row r="148" spans="2:23" x14ac:dyDescent="0.25">
      <c r="B148" s="3" t="s">
        <v>193</v>
      </c>
      <c r="C148" t="s">
        <v>79</v>
      </c>
      <c r="D148" t="s">
        <v>40</v>
      </c>
      <c r="E148" t="s">
        <v>316</v>
      </c>
      <c r="F148" t="s">
        <v>37</v>
      </c>
      <c r="G148" s="4">
        <v>42519</v>
      </c>
      <c r="H148" s="8">
        <v>62798</v>
      </c>
      <c r="J148">
        <v>30</v>
      </c>
      <c r="L148" t="s">
        <v>38</v>
      </c>
      <c r="M148" t="str">
        <f>VLOOKUP(F148,Lookup_Departments!A:B,2,0)</f>
        <v>Sales</v>
      </c>
      <c r="N148" s="11">
        <f t="shared" ca="1" si="16"/>
        <v>10.1</v>
      </c>
      <c r="O148" s="11" t="str">
        <f t="shared" si="17"/>
        <v>Needs Improvement</v>
      </c>
      <c r="P148" s="11" t="str">
        <f t="shared" si="18"/>
        <v>0</v>
      </c>
      <c r="Q148" s="6">
        <f t="shared" si="19"/>
        <v>0</v>
      </c>
      <c r="R148" t="str">
        <f>UPPER(F148)</f>
        <v>SAL05</v>
      </c>
      <c r="S148" t="str">
        <f t="shared" si="20"/>
        <v>SAL05</v>
      </c>
      <c r="T148" t="s">
        <v>316</v>
      </c>
      <c r="U148" t="str">
        <f t="shared" si="21"/>
        <v>Melissa Miller</v>
      </c>
      <c r="V148" t="str">
        <f t="shared" si="22"/>
        <v>Active</v>
      </c>
      <c r="W148" t="str">
        <f t="shared" si="23"/>
        <v>Active</v>
      </c>
    </row>
    <row r="149" spans="2:23" hidden="1" x14ac:dyDescent="0.25">
      <c r="B149" s="3" t="s">
        <v>194</v>
      </c>
      <c r="C149" t="s">
        <v>9</v>
      </c>
      <c r="D149" t="s">
        <v>20</v>
      </c>
      <c r="E149" t="s">
        <v>317</v>
      </c>
      <c r="F149" t="s">
        <v>28</v>
      </c>
      <c r="G149" s="4">
        <v>44711</v>
      </c>
      <c r="H149" s="8">
        <v>47794</v>
      </c>
      <c r="J149">
        <v>73</v>
      </c>
      <c r="L149" t="s">
        <v>25</v>
      </c>
      <c r="M149" t="str">
        <f>VLOOKUP(F149,Lookup_Departments!A:B,2,0)</f>
        <v>Operations</v>
      </c>
      <c r="N149" s="11">
        <f t="shared" ca="1" si="16"/>
        <v>4.0999999999999996</v>
      </c>
      <c r="O149" s="11" t="str">
        <f t="shared" si="17"/>
        <v>Achieving</v>
      </c>
      <c r="P149" s="11" t="str">
        <f t="shared" si="18"/>
        <v>0.05</v>
      </c>
      <c r="Q149" s="6">
        <f t="shared" si="19"/>
        <v>2389.7000000000003</v>
      </c>
      <c r="R149" t="str">
        <f>UPPER(F149)</f>
        <v>OPS06</v>
      </c>
      <c r="S149" t="str">
        <f t="shared" si="20"/>
        <v>OPS06</v>
      </c>
      <c r="T149" t="s">
        <v>317</v>
      </c>
      <c r="U149" t="str">
        <f t="shared" si="21"/>
        <v>Emily Martinez</v>
      </c>
      <c r="V149" t="str">
        <f t="shared" si="22"/>
        <v>Left</v>
      </c>
      <c r="W149" t="str">
        <f t="shared" si="23"/>
        <v>Left</v>
      </c>
    </row>
    <row r="150" spans="2:23" x14ac:dyDescent="0.25">
      <c r="B150" s="3" t="s">
        <v>195</v>
      </c>
      <c r="C150" t="s">
        <v>53</v>
      </c>
      <c r="D150" t="s">
        <v>34</v>
      </c>
      <c r="E150" t="s">
        <v>299</v>
      </c>
      <c r="F150" t="s">
        <v>15</v>
      </c>
      <c r="G150" s="4">
        <v>42440</v>
      </c>
      <c r="H150" s="8">
        <v>93094</v>
      </c>
      <c r="J150">
        <v>74</v>
      </c>
      <c r="L150" t="s">
        <v>38</v>
      </c>
      <c r="M150" t="str">
        <f>VLOOKUP(F150,Lookup_Departments!A:B,2,0)</f>
        <v>Marketing</v>
      </c>
      <c r="N150" s="11">
        <f t="shared" ca="1" si="16"/>
        <v>10.3</v>
      </c>
      <c r="O150" s="11" t="str">
        <f t="shared" si="17"/>
        <v>Achieving</v>
      </c>
      <c r="P150" s="11" t="str">
        <f t="shared" si="18"/>
        <v>0.05</v>
      </c>
      <c r="Q150" s="6">
        <f t="shared" si="19"/>
        <v>4654.7</v>
      </c>
      <c r="R150" t="str">
        <f>UPPER(F150)</f>
        <v>MKT04</v>
      </c>
      <c r="S150" t="str">
        <f t="shared" si="20"/>
        <v>MKT04</v>
      </c>
      <c r="T150" t="s">
        <v>299</v>
      </c>
      <c r="U150" t="str">
        <f t="shared" si="21"/>
        <v>James Rodriguez</v>
      </c>
      <c r="V150" t="str">
        <f t="shared" si="22"/>
        <v>Active</v>
      </c>
      <c r="W150" t="str">
        <f t="shared" si="23"/>
        <v>Active</v>
      </c>
    </row>
    <row r="151" spans="2:23" x14ac:dyDescent="0.25">
      <c r="B151" s="3" t="s">
        <v>196</v>
      </c>
      <c r="C151" t="s">
        <v>58</v>
      </c>
      <c r="D151" t="s">
        <v>10</v>
      </c>
      <c r="E151" t="s">
        <v>296</v>
      </c>
      <c r="F151" t="s">
        <v>11</v>
      </c>
      <c r="G151" s="4">
        <v>44848</v>
      </c>
      <c r="H151" s="8">
        <v>118634</v>
      </c>
      <c r="J151">
        <v>91</v>
      </c>
      <c r="L151" t="s">
        <v>38</v>
      </c>
      <c r="M151" t="str">
        <f>VLOOKUP(F151,Lookup_Departments!A:B,2,0)</f>
        <v>Information Technology</v>
      </c>
      <c r="N151" s="11">
        <f t="shared" ca="1" si="16"/>
        <v>3.7</v>
      </c>
      <c r="O151" s="11" t="str">
        <f t="shared" si="17"/>
        <v>Exceeding</v>
      </c>
      <c r="P151" s="11" t="str">
        <f t="shared" si="18"/>
        <v>0.08</v>
      </c>
      <c r="Q151" s="6">
        <f t="shared" si="19"/>
        <v>9490.7199999999993</v>
      </c>
      <c r="R151" t="str">
        <f>UPPER(F151)</f>
        <v>IT02</v>
      </c>
      <c r="S151" t="str">
        <f t="shared" si="20"/>
        <v>IT02</v>
      </c>
      <c r="T151" t="s">
        <v>296</v>
      </c>
      <c r="U151" t="str">
        <f t="shared" si="21"/>
        <v>Amanda Brown</v>
      </c>
      <c r="V151" t="str">
        <f t="shared" si="22"/>
        <v>Active</v>
      </c>
      <c r="W151" t="str">
        <f t="shared" si="23"/>
        <v>Active</v>
      </c>
    </row>
    <row r="152" spans="2:23" hidden="1" x14ac:dyDescent="0.25">
      <c r="E152" t="s">
        <v>325</v>
      </c>
      <c r="M152" t="e">
        <f>VLOOKUP(F152,Lookup_Departments!A:B,2,0)</f>
        <v>#N/A</v>
      </c>
      <c r="N152" s="11">
        <f t="shared" ca="1" si="16"/>
        <v>126.5</v>
      </c>
      <c r="O152" s="11" t="str">
        <f t="shared" si="17"/>
        <v>Needs Improvement</v>
      </c>
      <c r="P152" s="11" t="str">
        <f t="shared" si="18"/>
        <v>0</v>
      </c>
      <c r="Q152" s="6">
        <f t="shared" si="19"/>
        <v>0</v>
      </c>
      <c r="U152" t="str">
        <f t="shared" si="21"/>
        <v/>
      </c>
      <c r="V152" t="str">
        <f t="shared" si="22"/>
        <v/>
      </c>
    </row>
    <row r="153" spans="2:23" hidden="1" x14ac:dyDescent="0.25">
      <c r="E153" t="s">
        <v>325</v>
      </c>
      <c r="M153" t="e">
        <f>VLOOKUP(F153,Lookup_Departments!A:B,2,0)</f>
        <v>#N/A</v>
      </c>
      <c r="N153" s="11">
        <f t="shared" ca="1" si="16"/>
        <v>126.5</v>
      </c>
      <c r="O153" s="11" t="str">
        <f t="shared" si="17"/>
        <v>Needs Improvement</v>
      </c>
      <c r="P153" s="11" t="str">
        <f t="shared" si="18"/>
        <v>0</v>
      </c>
      <c r="Q153" s="6">
        <f t="shared" si="19"/>
        <v>0</v>
      </c>
      <c r="U153" t="str">
        <f t="shared" si="21"/>
        <v/>
      </c>
      <c r="V153" t="str">
        <f t="shared" si="22"/>
        <v/>
      </c>
    </row>
    <row r="154" spans="2:23" hidden="1" x14ac:dyDescent="0.25">
      <c r="E154" t="s">
        <v>325</v>
      </c>
      <c r="M154" t="e">
        <f>VLOOKUP(F154,Lookup_Departments!A:B,2,0)</f>
        <v>#N/A</v>
      </c>
      <c r="N154" s="11">
        <f t="shared" ca="1" si="16"/>
        <v>126.5</v>
      </c>
      <c r="O154" s="11" t="str">
        <f t="shared" si="17"/>
        <v>Needs Improvement</v>
      </c>
      <c r="P154" s="11" t="str">
        <f t="shared" si="18"/>
        <v>0</v>
      </c>
      <c r="Q154" s="6">
        <f t="shared" si="19"/>
        <v>0</v>
      </c>
      <c r="U154" t="str">
        <f t="shared" si="21"/>
        <v/>
      </c>
      <c r="V154" t="str">
        <f t="shared" si="22"/>
        <v/>
      </c>
    </row>
    <row r="155" spans="2:23" hidden="1" x14ac:dyDescent="0.25">
      <c r="E155" t="s">
        <v>325</v>
      </c>
      <c r="M155" t="e">
        <f>VLOOKUP(F155,Lookup_Departments!A:B,2,0)</f>
        <v>#N/A</v>
      </c>
      <c r="N155" s="11">
        <f t="shared" ca="1" si="16"/>
        <v>126.5</v>
      </c>
      <c r="O155" s="11" t="str">
        <f t="shared" si="17"/>
        <v>Needs Improvement</v>
      </c>
      <c r="P155" s="11" t="str">
        <f t="shared" si="18"/>
        <v>0</v>
      </c>
      <c r="Q155" s="6">
        <f t="shared" si="19"/>
        <v>0</v>
      </c>
      <c r="U155" t="str">
        <f t="shared" si="21"/>
        <v/>
      </c>
      <c r="V155" t="str">
        <f t="shared" si="22"/>
        <v/>
      </c>
    </row>
    <row r="156" spans="2:23" hidden="1" x14ac:dyDescent="0.25">
      <c r="E156" t="s">
        <v>325</v>
      </c>
      <c r="M156" t="e">
        <f>VLOOKUP(F156,Lookup_Departments!A:B,2,0)</f>
        <v>#N/A</v>
      </c>
      <c r="N156" s="11">
        <f t="shared" ca="1" si="16"/>
        <v>126.5</v>
      </c>
      <c r="O156" s="11" t="str">
        <f t="shared" si="17"/>
        <v>Needs Improvement</v>
      </c>
      <c r="P156" s="11" t="str">
        <f t="shared" si="18"/>
        <v>0</v>
      </c>
      <c r="Q156" s="6">
        <f t="shared" si="19"/>
        <v>0</v>
      </c>
      <c r="U156" t="str">
        <f t="shared" si="21"/>
        <v/>
      </c>
      <c r="V156" t="str">
        <f t="shared" si="22"/>
        <v/>
      </c>
    </row>
    <row r="157" spans="2:23" hidden="1" x14ac:dyDescent="0.25">
      <c r="E157" t="s">
        <v>325</v>
      </c>
      <c r="M157" t="e">
        <f>VLOOKUP(F157,Lookup_Departments!A:B,2,0)</f>
        <v>#N/A</v>
      </c>
      <c r="N157" s="11">
        <f t="shared" ca="1" si="16"/>
        <v>126.5</v>
      </c>
      <c r="O157" s="11" t="str">
        <f t="shared" si="17"/>
        <v>Needs Improvement</v>
      </c>
      <c r="P157" s="11" t="str">
        <f t="shared" si="18"/>
        <v>0</v>
      </c>
      <c r="Q157" s="6">
        <f t="shared" si="19"/>
        <v>0</v>
      </c>
      <c r="U157" t="str">
        <f t="shared" si="21"/>
        <v/>
      </c>
      <c r="V157" t="str">
        <f t="shared" si="22"/>
        <v/>
      </c>
    </row>
    <row r="158" spans="2:23" hidden="1" x14ac:dyDescent="0.25">
      <c r="E158" t="s">
        <v>325</v>
      </c>
      <c r="M158" t="e">
        <f>VLOOKUP(F158,Lookup_Departments!A:B,2,0)</f>
        <v>#N/A</v>
      </c>
      <c r="N158" s="11">
        <f t="shared" ca="1" si="16"/>
        <v>126.5</v>
      </c>
      <c r="O158" s="11" t="str">
        <f t="shared" si="17"/>
        <v>Needs Improvement</v>
      </c>
      <c r="P158" s="11" t="str">
        <f t="shared" si="18"/>
        <v>0</v>
      </c>
      <c r="Q158" s="6">
        <f t="shared" si="19"/>
        <v>0</v>
      </c>
      <c r="U158" t="str">
        <f t="shared" si="21"/>
        <v/>
      </c>
      <c r="V158" t="str">
        <f t="shared" si="22"/>
        <v/>
      </c>
    </row>
  </sheetData>
  <autoFilter ref="B1:W158" xr:uid="{00000000-0001-0000-0000-000000000000}">
    <filterColumn colId="10">
      <filters>
        <filter val="Active"/>
      </filters>
    </filterColumn>
  </autoFilter>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AEA2-BBE1-4540-B6AE-248C3FEA0D23}">
  <dimension ref="B1:O151"/>
  <sheetViews>
    <sheetView tabSelected="1" zoomScale="86" zoomScaleNormal="86" workbookViewId="0"/>
  </sheetViews>
  <sheetFormatPr defaultRowHeight="15" x14ac:dyDescent="0.25"/>
  <cols>
    <col min="1" max="1" width="19.85546875" customWidth="1"/>
    <col min="2" max="2" width="9.28515625" customWidth="1"/>
    <col min="3" max="3" width="13.28515625" customWidth="1"/>
    <col min="4" max="4" width="12.85546875" customWidth="1"/>
    <col min="5" max="5" width="20.42578125" customWidth="1"/>
    <col min="6" max="6" width="12.42578125" customWidth="1"/>
    <col min="7" max="7" width="15.7109375" style="4" customWidth="1"/>
    <col min="8" max="8" width="13.140625" style="8" customWidth="1"/>
    <col min="9" max="9" width="12.7109375" customWidth="1"/>
    <col min="10" max="10" width="20.28515625" customWidth="1"/>
    <col min="11" max="11" width="21.85546875" customWidth="1"/>
    <col min="12" max="12" width="16.28515625" style="11" customWidth="1"/>
    <col min="13" max="13" width="19.42578125" customWidth="1"/>
    <col min="14" max="14" width="17.5703125" style="9" customWidth="1"/>
    <col min="15" max="15" width="23.140625" customWidth="1"/>
  </cols>
  <sheetData>
    <row r="1" spans="2:15" s="14" customFormat="1" x14ac:dyDescent="0.25">
      <c r="B1" s="14" t="s">
        <v>0</v>
      </c>
      <c r="C1" s="14" t="s">
        <v>1</v>
      </c>
      <c r="D1" s="14" t="s">
        <v>2</v>
      </c>
      <c r="E1" s="14" t="s">
        <v>318</v>
      </c>
      <c r="F1" s="14" t="s">
        <v>3</v>
      </c>
      <c r="G1" s="15" t="s">
        <v>4</v>
      </c>
      <c r="H1" s="16" t="s">
        <v>5</v>
      </c>
      <c r="I1" s="14" t="s">
        <v>6</v>
      </c>
      <c r="J1" s="14" t="s">
        <v>7</v>
      </c>
      <c r="K1" s="14" t="s">
        <v>326</v>
      </c>
      <c r="L1" s="17" t="s">
        <v>327</v>
      </c>
      <c r="M1" s="14" t="s">
        <v>328</v>
      </c>
      <c r="N1" s="18" t="s">
        <v>336</v>
      </c>
      <c r="O1" s="14" t="s">
        <v>330</v>
      </c>
    </row>
    <row r="2" spans="2:15" x14ac:dyDescent="0.25">
      <c r="B2" t="s">
        <v>8</v>
      </c>
      <c r="C2" t="s">
        <v>9</v>
      </c>
      <c r="D2" t="s">
        <v>10</v>
      </c>
      <c r="E2" t="s">
        <v>214</v>
      </c>
      <c r="F2" t="s">
        <v>11</v>
      </c>
      <c r="G2" s="4">
        <v>43093</v>
      </c>
      <c r="H2" s="8">
        <v>50361</v>
      </c>
      <c r="I2">
        <v>52</v>
      </c>
      <c r="J2" t="s">
        <v>38</v>
      </c>
      <c r="K2" t="s">
        <v>200</v>
      </c>
      <c r="L2" s="11">
        <v>8.5</v>
      </c>
      <c r="M2" t="s">
        <v>210</v>
      </c>
      <c r="N2" s="9" t="s">
        <v>331</v>
      </c>
      <c r="O2" s="6">
        <v>1007.22</v>
      </c>
    </row>
    <row r="3" spans="2:15" x14ac:dyDescent="0.25">
      <c r="B3" t="s">
        <v>12</v>
      </c>
      <c r="C3" t="s">
        <v>13</v>
      </c>
      <c r="D3" t="s">
        <v>14</v>
      </c>
      <c r="E3" t="s">
        <v>215</v>
      </c>
      <c r="F3" t="s">
        <v>15</v>
      </c>
      <c r="G3" s="4">
        <v>44777</v>
      </c>
      <c r="H3" s="8">
        <v>112673</v>
      </c>
      <c r="I3">
        <v>68</v>
      </c>
      <c r="J3" t="s">
        <v>38</v>
      </c>
      <c r="K3" t="s">
        <v>202</v>
      </c>
      <c r="L3" s="11">
        <v>3.9</v>
      </c>
      <c r="M3" t="s">
        <v>210</v>
      </c>
      <c r="N3" s="9" t="s">
        <v>331</v>
      </c>
      <c r="O3" s="6">
        <v>2253.46</v>
      </c>
    </row>
    <row r="4" spans="2:15" x14ac:dyDescent="0.25">
      <c r="B4" t="s">
        <v>16</v>
      </c>
      <c r="C4" t="s">
        <v>9</v>
      </c>
      <c r="D4" t="s">
        <v>17</v>
      </c>
      <c r="E4" t="s">
        <v>216</v>
      </c>
      <c r="F4" t="s">
        <v>11</v>
      </c>
      <c r="G4" s="4">
        <v>42403</v>
      </c>
      <c r="H4" s="8">
        <v>114425</v>
      </c>
      <c r="I4">
        <v>54</v>
      </c>
      <c r="J4" t="s">
        <v>25</v>
      </c>
      <c r="K4" t="s">
        <v>200</v>
      </c>
      <c r="L4" s="11">
        <v>10.4</v>
      </c>
      <c r="M4" t="s">
        <v>210</v>
      </c>
      <c r="N4" s="9" t="s">
        <v>331</v>
      </c>
      <c r="O4" s="6">
        <v>2288.5</v>
      </c>
    </row>
    <row r="5" spans="2:15" x14ac:dyDescent="0.25">
      <c r="B5" t="s">
        <v>18</v>
      </c>
      <c r="C5" t="s">
        <v>19</v>
      </c>
      <c r="D5" t="s">
        <v>20</v>
      </c>
      <c r="E5" t="s">
        <v>217</v>
      </c>
      <c r="F5" t="s">
        <v>21</v>
      </c>
      <c r="G5" s="4">
        <v>44992</v>
      </c>
      <c r="H5" s="8">
        <v>103831</v>
      </c>
      <c r="I5">
        <v>70</v>
      </c>
      <c r="J5" t="s">
        <v>38</v>
      </c>
      <c r="K5" t="s">
        <v>201</v>
      </c>
      <c r="L5" s="11">
        <v>3.3</v>
      </c>
      <c r="M5" t="s">
        <v>210</v>
      </c>
      <c r="N5" s="9" t="s">
        <v>331</v>
      </c>
      <c r="O5" s="6">
        <v>2076.62</v>
      </c>
    </row>
    <row r="6" spans="2:15" x14ac:dyDescent="0.25">
      <c r="B6" t="s">
        <v>22</v>
      </c>
      <c r="C6" t="s">
        <v>23</v>
      </c>
      <c r="D6" t="s">
        <v>24</v>
      </c>
      <c r="E6" t="s">
        <v>218</v>
      </c>
      <c r="F6" t="s">
        <v>11</v>
      </c>
      <c r="G6" s="4">
        <v>44977</v>
      </c>
      <c r="H6" s="8">
        <v>73785</v>
      </c>
      <c r="I6">
        <v>40</v>
      </c>
      <c r="J6" t="s">
        <v>25</v>
      </c>
      <c r="K6" t="s">
        <v>200</v>
      </c>
      <c r="L6" s="11">
        <v>3.4</v>
      </c>
      <c r="M6" t="s">
        <v>209</v>
      </c>
      <c r="N6" s="9" t="s">
        <v>332</v>
      </c>
      <c r="O6" s="6">
        <v>0</v>
      </c>
    </row>
    <row r="7" spans="2:15" x14ac:dyDescent="0.25">
      <c r="B7" t="s">
        <v>26</v>
      </c>
      <c r="C7" t="s">
        <v>9</v>
      </c>
      <c r="D7" t="s">
        <v>27</v>
      </c>
      <c r="E7" t="s">
        <v>219</v>
      </c>
      <c r="F7" t="s">
        <v>28</v>
      </c>
      <c r="G7" s="4">
        <v>43864</v>
      </c>
      <c r="H7" s="8">
        <v>115882</v>
      </c>
      <c r="I7">
        <v>49</v>
      </c>
      <c r="J7" t="s">
        <v>38</v>
      </c>
      <c r="K7" t="s">
        <v>204</v>
      </c>
      <c r="L7" s="11">
        <v>6.4</v>
      </c>
      <c r="M7" t="s">
        <v>209</v>
      </c>
      <c r="N7" s="9" t="s">
        <v>332</v>
      </c>
      <c r="O7" s="6">
        <v>0</v>
      </c>
    </row>
    <row r="8" spans="2:15" x14ac:dyDescent="0.25">
      <c r="B8" t="s">
        <v>29</v>
      </c>
      <c r="C8" t="s">
        <v>19</v>
      </c>
      <c r="D8" t="s">
        <v>30</v>
      </c>
      <c r="E8" t="s">
        <v>220</v>
      </c>
      <c r="F8" t="s">
        <v>28</v>
      </c>
      <c r="G8" s="4">
        <v>45272</v>
      </c>
      <c r="H8" s="8">
        <v>59980</v>
      </c>
      <c r="I8">
        <v>70</v>
      </c>
      <c r="J8" t="s">
        <v>25</v>
      </c>
      <c r="K8" t="s">
        <v>204</v>
      </c>
      <c r="L8" s="11">
        <v>2.6</v>
      </c>
      <c r="M8" t="s">
        <v>210</v>
      </c>
      <c r="N8" s="9" t="s">
        <v>331</v>
      </c>
      <c r="O8" s="6">
        <v>1199.6000000000001</v>
      </c>
    </row>
    <row r="9" spans="2:15" x14ac:dyDescent="0.25">
      <c r="B9" t="s">
        <v>31</v>
      </c>
      <c r="C9" t="s">
        <v>32</v>
      </c>
      <c r="D9" t="s">
        <v>24</v>
      </c>
      <c r="E9" t="s">
        <v>221</v>
      </c>
      <c r="F9" t="s">
        <v>28</v>
      </c>
      <c r="G9" s="4">
        <v>44086</v>
      </c>
      <c r="H9" s="8">
        <v>68728</v>
      </c>
      <c r="I9">
        <v>45</v>
      </c>
      <c r="J9" t="s">
        <v>38</v>
      </c>
      <c r="K9" t="s">
        <v>204</v>
      </c>
      <c r="L9" s="11">
        <v>5.8</v>
      </c>
      <c r="M9" t="s">
        <v>209</v>
      </c>
      <c r="N9" s="9" t="s">
        <v>332</v>
      </c>
      <c r="O9" s="6">
        <v>0</v>
      </c>
    </row>
    <row r="10" spans="2:15" x14ac:dyDescent="0.25">
      <c r="B10" t="s">
        <v>33</v>
      </c>
      <c r="C10" t="s">
        <v>34</v>
      </c>
      <c r="D10" t="s">
        <v>34</v>
      </c>
      <c r="E10" t="s">
        <v>319</v>
      </c>
      <c r="F10" t="s">
        <v>21</v>
      </c>
      <c r="G10" s="4">
        <v>43282</v>
      </c>
      <c r="H10" s="8">
        <v>102139</v>
      </c>
      <c r="I10">
        <v>79</v>
      </c>
      <c r="J10" t="s">
        <v>38</v>
      </c>
      <c r="K10" t="s">
        <v>201</v>
      </c>
      <c r="L10" s="11">
        <v>8</v>
      </c>
      <c r="M10" t="s">
        <v>211</v>
      </c>
      <c r="N10" s="9" t="s">
        <v>333</v>
      </c>
      <c r="O10" s="6">
        <v>5106.9500000000007</v>
      </c>
    </row>
    <row r="11" spans="2:15" x14ac:dyDescent="0.25">
      <c r="B11" t="s">
        <v>35</v>
      </c>
      <c r="C11" t="s">
        <v>36</v>
      </c>
      <c r="D11" t="s">
        <v>20</v>
      </c>
      <c r="E11" t="s">
        <v>222</v>
      </c>
      <c r="F11" t="s">
        <v>37</v>
      </c>
      <c r="G11" s="4">
        <v>42411</v>
      </c>
      <c r="H11" s="8">
        <v>94998</v>
      </c>
      <c r="I11">
        <v>58</v>
      </c>
      <c r="J11" t="s">
        <v>38</v>
      </c>
      <c r="K11" t="s">
        <v>203</v>
      </c>
      <c r="L11" s="11">
        <v>10.4</v>
      </c>
      <c r="M11" t="s">
        <v>210</v>
      </c>
      <c r="N11" s="9" t="s">
        <v>331</v>
      </c>
      <c r="O11" s="6">
        <v>1899.96</v>
      </c>
    </row>
    <row r="12" spans="2:15" x14ac:dyDescent="0.25">
      <c r="B12" t="s">
        <v>39</v>
      </c>
      <c r="C12" t="s">
        <v>9</v>
      </c>
      <c r="D12" t="s">
        <v>40</v>
      </c>
      <c r="E12" t="s">
        <v>223</v>
      </c>
      <c r="F12" t="s">
        <v>37</v>
      </c>
      <c r="G12" s="4">
        <v>43911</v>
      </c>
      <c r="H12" s="8">
        <v>118635</v>
      </c>
      <c r="I12">
        <v>49</v>
      </c>
      <c r="J12" t="s">
        <v>38</v>
      </c>
      <c r="K12" t="s">
        <v>203</v>
      </c>
      <c r="L12" s="11">
        <v>6.3</v>
      </c>
      <c r="M12" t="s">
        <v>209</v>
      </c>
      <c r="N12" s="9" t="s">
        <v>332</v>
      </c>
      <c r="O12" s="6">
        <v>0</v>
      </c>
    </row>
    <row r="13" spans="2:15" x14ac:dyDescent="0.25">
      <c r="B13" t="s">
        <v>41</v>
      </c>
      <c r="C13" t="s">
        <v>9</v>
      </c>
      <c r="D13" t="s">
        <v>14</v>
      </c>
      <c r="E13" t="s">
        <v>224</v>
      </c>
      <c r="F13" t="s">
        <v>11</v>
      </c>
      <c r="G13" s="4">
        <v>42425</v>
      </c>
      <c r="H13" s="8">
        <v>76918</v>
      </c>
      <c r="I13">
        <v>62</v>
      </c>
      <c r="J13" t="s">
        <v>38</v>
      </c>
      <c r="K13" t="s">
        <v>200</v>
      </c>
      <c r="L13" s="11">
        <v>10.4</v>
      </c>
      <c r="M13" t="s">
        <v>210</v>
      </c>
      <c r="N13" s="9" t="s">
        <v>331</v>
      </c>
      <c r="O13" s="6">
        <v>1538.3600000000001</v>
      </c>
    </row>
    <row r="14" spans="2:15" x14ac:dyDescent="0.25">
      <c r="B14" t="s">
        <v>42</v>
      </c>
      <c r="C14" t="s">
        <v>43</v>
      </c>
      <c r="D14" t="s">
        <v>44</v>
      </c>
      <c r="E14" t="s">
        <v>225</v>
      </c>
      <c r="F14" t="s">
        <v>15</v>
      </c>
      <c r="G14" s="4">
        <v>44364</v>
      </c>
      <c r="H14" s="8">
        <v>61408</v>
      </c>
      <c r="I14">
        <v>48</v>
      </c>
      <c r="J14" t="s">
        <v>38</v>
      </c>
      <c r="K14" t="s">
        <v>202</v>
      </c>
      <c r="L14" s="11">
        <v>5.0999999999999996</v>
      </c>
      <c r="M14" t="s">
        <v>209</v>
      </c>
      <c r="N14" s="9" t="s">
        <v>332</v>
      </c>
      <c r="O14" s="6">
        <v>0</v>
      </c>
    </row>
    <row r="15" spans="2:15" x14ac:dyDescent="0.25">
      <c r="B15" t="s">
        <v>45</v>
      </c>
      <c r="C15" t="s">
        <v>43</v>
      </c>
      <c r="D15" t="s">
        <v>40</v>
      </c>
      <c r="E15" t="s">
        <v>226</v>
      </c>
      <c r="F15" t="s">
        <v>15</v>
      </c>
      <c r="G15" s="4">
        <v>44001</v>
      </c>
      <c r="H15" s="8">
        <v>99990</v>
      </c>
      <c r="I15">
        <v>54</v>
      </c>
      <c r="J15" t="s">
        <v>38</v>
      </c>
      <c r="K15" t="s">
        <v>202</v>
      </c>
      <c r="L15" s="11">
        <v>6.1</v>
      </c>
      <c r="M15" t="s">
        <v>210</v>
      </c>
      <c r="N15" s="9" t="s">
        <v>331</v>
      </c>
      <c r="O15" s="6">
        <v>1999.8</v>
      </c>
    </row>
    <row r="16" spans="2:15" x14ac:dyDescent="0.25">
      <c r="B16" t="s">
        <v>46</v>
      </c>
      <c r="C16" t="s">
        <v>47</v>
      </c>
      <c r="D16" t="s">
        <v>48</v>
      </c>
      <c r="E16" t="s">
        <v>227</v>
      </c>
      <c r="F16" t="s">
        <v>15</v>
      </c>
      <c r="G16" s="4">
        <v>43820</v>
      </c>
      <c r="H16" s="8">
        <v>80385</v>
      </c>
      <c r="I16">
        <v>68</v>
      </c>
      <c r="J16" t="s">
        <v>38</v>
      </c>
      <c r="K16" t="s">
        <v>202</v>
      </c>
      <c r="L16" s="11">
        <v>6.5</v>
      </c>
      <c r="M16" t="s">
        <v>210</v>
      </c>
      <c r="N16" s="9" t="s">
        <v>331</v>
      </c>
      <c r="O16" s="6">
        <v>1607.7</v>
      </c>
    </row>
    <row r="17" spans="2:15" x14ac:dyDescent="0.25">
      <c r="B17" t="s">
        <v>49</v>
      </c>
      <c r="C17" t="s">
        <v>23</v>
      </c>
      <c r="D17" t="s">
        <v>34</v>
      </c>
      <c r="E17" t="s">
        <v>228</v>
      </c>
      <c r="F17" t="s">
        <v>37</v>
      </c>
      <c r="G17" s="4">
        <v>45169</v>
      </c>
      <c r="H17" s="8">
        <v>65290</v>
      </c>
      <c r="I17">
        <v>77</v>
      </c>
      <c r="J17" t="s">
        <v>38</v>
      </c>
      <c r="K17" t="s">
        <v>203</v>
      </c>
      <c r="L17" s="11">
        <v>2.9</v>
      </c>
      <c r="M17" t="s">
        <v>211</v>
      </c>
      <c r="N17" s="9" t="s">
        <v>333</v>
      </c>
      <c r="O17" s="6">
        <v>3264.5</v>
      </c>
    </row>
    <row r="18" spans="2:15" x14ac:dyDescent="0.25">
      <c r="B18" t="s">
        <v>50</v>
      </c>
      <c r="C18" t="s">
        <v>9</v>
      </c>
      <c r="D18" t="s">
        <v>51</v>
      </c>
      <c r="E18" t="s">
        <v>229</v>
      </c>
      <c r="F18" t="s">
        <v>11</v>
      </c>
      <c r="G18" s="4">
        <v>42337</v>
      </c>
      <c r="H18" s="8">
        <v>105765</v>
      </c>
      <c r="I18">
        <v>42</v>
      </c>
      <c r="J18" t="s">
        <v>38</v>
      </c>
      <c r="K18" t="s">
        <v>200</v>
      </c>
      <c r="L18" s="11">
        <v>10.6</v>
      </c>
      <c r="M18" t="s">
        <v>209</v>
      </c>
      <c r="N18" s="9" t="s">
        <v>332</v>
      </c>
      <c r="O18" s="6">
        <v>0</v>
      </c>
    </row>
    <row r="19" spans="2:15" x14ac:dyDescent="0.25">
      <c r="B19" t="s">
        <v>52</v>
      </c>
      <c r="C19" t="s">
        <v>53</v>
      </c>
      <c r="D19" t="s">
        <v>20</v>
      </c>
      <c r="E19" t="s">
        <v>230</v>
      </c>
      <c r="F19" t="s">
        <v>37</v>
      </c>
      <c r="G19" s="4">
        <v>42899</v>
      </c>
      <c r="H19" s="8">
        <v>102921</v>
      </c>
      <c r="I19">
        <v>49</v>
      </c>
      <c r="J19" t="s">
        <v>38</v>
      </c>
      <c r="K19" t="s">
        <v>203</v>
      </c>
      <c r="L19" s="11">
        <v>9.1</v>
      </c>
      <c r="M19" t="s">
        <v>209</v>
      </c>
      <c r="N19" s="9" t="s">
        <v>332</v>
      </c>
      <c r="O19" s="6">
        <v>0</v>
      </c>
    </row>
    <row r="20" spans="2:15" x14ac:dyDescent="0.25">
      <c r="B20" t="s">
        <v>54</v>
      </c>
      <c r="C20" t="s">
        <v>55</v>
      </c>
      <c r="D20" t="s">
        <v>56</v>
      </c>
      <c r="E20" t="s">
        <v>231</v>
      </c>
      <c r="F20" t="s">
        <v>15</v>
      </c>
      <c r="G20" s="4">
        <v>43235</v>
      </c>
      <c r="H20" s="8">
        <v>73984</v>
      </c>
      <c r="I20">
        <v>93</v>
      </c>
      <c r="J20" t="s">
        <v>38</v>
      </c>
      <c r="K20" t="s">
        <v>202</v>
      </c>
      <c r="L20" s="11">
        <v>8.1</v>
      </c>
      <c r="M20" t="s">
        <v>212</v>
      </c>
      <c r="N20" s="9" t="s">
        <v>334</v>
      </c>
      <c r="O20" s="6">
        <v>5918.72</v>
      </c>
    </row>
    <row r="21" spans="2:15" x14ac:dyDescent="0.25">
      <c r="B21" t="s">
        <v>57</v>
      </c>
      <c r="C21" t="s">
        <v>58</v>
      </c>
      <c r="D21" t="s">
        <v>17</v>
      </c>
      <c r="E21" t="s">
        <v>232</v>
      </c>
      <c r="F21" t="s">
        <v>11</v>
      </c>
      <c r="G21" s="4">
        <v>42575</v>
      </c>
      <c r="H21" s="8">
        <v>83604</v>
      </c>
      <c r="I21">
        <v>75</v>
      </c>
      <c r="J21" t="s">
        <v>38</v>
      </c>
      <c r="K21" t="s">
        <v>200</v>
      </c>
      <c r="L21" s="11">
        <v>10</v>
      </c>
      <c r="M21" t="s">
        <v>211</v>
      </c>
      <c r="N21" s="9" t="s">
        <v>333</v>
      </c>
      <c r="O21" s="6">
        <v>4180.2</v>
      </c>
    </row>
    <row r="22" spans="2:15" x14ac:dyDescent="0.25">
      <c r="B22" t="s">
        <v>59</v>
      </c>
      <c r="C22" t="s">
        <v>36</v>
      </c>
      <c r="D22" t="s">
        <v>14</v>
      </c>
      <c r="E22" t="s">
        <v>233</v>
      </c>
      <c r="F22" t="s">
        <v>21</v>
      </c>
      <c r="G22" s="4">
        <v>42928</v>
      </c>
      <c r="H22" s="8">
        <v>118527</v>
      </c>
      <c r="I22">
        <v>50</v>
      </c>
      <c r="J22" t="s">
        <v>38</v>
      </c>
      <c r="K22" t="s">
        <v>201</v>
      </c>
      <c r="L22" s="11">
        <v>9</v>
      </c>
      <c r="M22" t="s">
        <v>209</v>
      </c>
      <c r="N22" s="9" t="s">
        <v>332</v>
      </c>
      <c r="O22" s="6">
        <v>0</v>
      </c>
    </row>
    <row r="23" spans="2:15" x14ac:dyDescent="0.25">
      <c r="B23" t="s">
        <v>60</v>
      </c>
      <c r="C23" t="s">
        <v>13</v>
      </c>
      <c r="D23" t="s">
        <v>14</v>
      </c>
      <c r="E23" t="s">
        <v>215</v>
      </c>
      <c r="F23" t="s">
        <v>15</v>
      </c>
      <c r="G23" s="4">
        <v>44353</v>
      </c>
      <c r="H23" s="8">
        <v>107871</v>
      </c>
      <c r="I23">
        <v>88</v>
      </c>
      <c r="J23" t="s">
        <v>38</v>
      </c>
      <c r="K23" t="s">
        <v>202</v>
      </c>
      <c r="L23" s="11">
        <v>5.0999999999999996</v>
      </c>
      <c r="M23" t="s">
        <v>212</v>
      </c>
      <c r="N23" s="9" t="s">
        <v>334</v>
      </c>
      <c r="O23" s="6">
        <v>8629.68</v>
      </c>
    </row>
    <row r="24" spans="2:15" x14ac:dyDescent="0.25">
      <c r="B24" t="s">
        <v>61</v>
      </c>
      <c r="C24" t="s">
        <v>36</v>
      </c>
      <c r="D24" t="s">
        <v>34</v>
      </c>
      <c r="E24" t="s">
        <v>234</v>
      </c>
      <c r="F24" t="s">
        <v>11</v>
      </c>
      <c r="G24" s="4">
        <v>44874</v>
      </c>
      <c r="H24" s="8">
        <v>93956</v>
      </c>
      <c r="I24">
        <v>50</v>
      </c>
      <c r="J24" t="s">
        <v>25</v>
      </c>
      <c r="K24" t="s">
        <v>200</v>
      </c>
      <c r="L24" s="11">
        <v>3.7</v>
      </c>
      <c r="M24" t="s">
        <v>209</v>
      </c>
      <c r="N24" s="9" t="s">
        <v>332</v>
      </c>
      <c r="O24" s="6">
        <v>0</v>
      </c>
    </row>
    <row r="25" spans="2:15" x14ac:dyDescent="0.25">
      <c r="B25" t="s">
        <v>62</v>
      </c>
      <c r="C25" t="s">
        <v>32</v>
      </c>
      <c r="D25" t="s">
        <v>27</v>
      </c>
      <c r="E25" t="s">
        <v>235</v>
      </c>
      <c r="F25" t="s">
        <v>21</v>
      </c>
      <c r="G25" s="4">
        <v>42565</v>
      </c>
      <c r="H25" s="8">
        <v>100851</v>
      </c>
      <c r="I25">
        <v>64</v>
      </c>
      <c r="J25" t="s">
        <v>38</v>
      </c>
      <c r="K25" t="s">
        <v>201</v>
      </c>
      <c r="L25" s="11">
        <v>10</v>
      </c>
      <c r="M25" t="s">
        <v>210</v>
      </c>
      <c r="N25" s="9" t="s">
        <v>331</v>
      </c>
      <c r="O25" s="6">
        <v>2017.02</v>
      </c>
    </row>
    <row r="26" spans="2:15" x14ac:dyDescent="0.25">
      <c r="B26" t="s">
        <v>63</v>
      </c>
      <c r="C26" t="s">
        <v>55</v>
      </c>
      <c r="D26" t="s">
        <v>44</v>
      </c>
      <c r="E26" t="s">
        <v>236</v>
      </c>
      <c r="F26" t="s">
        <v>37</v>
      </c>
      <c r="G26" s="4">
        <v>44728</v>
      </c>
      <c r="H26" s="8">
        <v>68655</v>
      </c>
      <c r="I26">
        <v>32</v>
      </c>
      <c r="J26" t="s">
        <v>38</v>
      </c>
      <c r="K26" t="s">
        <v>203</v>
      </c>
      <c r="L26" s="11">
        <v>4.0999999999999996</v>
      </c>
      <c r="M26" t="s">
        <v>209</v>
      </c>
      <c r="N26" s="9" t="s">
        <v>332</v>
      </c>
      <c r="O26" s="6">
        <v>0</v>
      </c>
    </row>
    <row r="27" spans="2:15" x14ac:dyDescent="0.25">
      <c r="B27" t="s">
        <v>64</v>
      </c>
      <c r="C27" t="s">
        <v>44</v>
      </c>
      <c r="D27" t="s">
        <v>44</v>
      </c>
      <c r="E27" t="s">
        <v>321</v>
      </c>
      <c r="F27" t="s">
        <v>37</v>
      </c>
      <c r="G27" s="4">
        <v>45134</v>
      </c>
      <c r="H27" s="8">
        <v>81205</v>
      </c>
      <c r="I27">
        <v>59</v>
      </c>
      <c r="J27" t="s">
        <v>38</v>
      </c>
      <c r="K27" t="s">
        <v>203</v>
      </c>
      <c r="L27" s="11">
        <v>2.9</v>
      </c>
      <c r="M27" t="s">
        <v>210</v>
      </c>
      <c r="N27" s="9" t="s">
        <v>331</v>
      </c>
      <c r="O27" s="6">
        <v>1624.1000000000001</v>
      </c>
    </row>
    <row r="28" spans="2:15" x14ac:dyDescent="0.25">
      <c r="B28" t="s">
        <v>65</v>
      </c>
      <c r="C28" t="s">
        <v>19</v>
      </c>
      <c r="D28" t="s">
        <v>30</v>
      </c>
      <c r="E28" t="s">
        <v>220</v>
      </c>
      <c r="F28" t="s">
        <v>37</v>
      </c>
      <c r="G28" s="4">
        <v>43732</v>
      </c>
      <c r="H28" s="8">
        <v>77610</v>
      </c>
      <c r="I28">
        <v>88</v>
      </c>
      <c r="J28" t="s">
        <v>38</v>
      </c>
      <c r="K28" t="s">
        <v>203</v>
      </c>
      <c r="L28" s="11">
        <v>6.8</v>
      </c>
      <c r="M28" t="s">
        <v>212</v>
      </c>
      <c r="N28" s="9" t="s">
        <v>334</v>
      </c>
      <c r="O28" s="6">
        <v>6208.8</v>
      </c>
    </row>
    <row r="29" spans="2:15" x14ac:dyDescent="0.25">
      <c r="B29" t="s">
        <v>66</v>
      </c>
      <c r="C29" t="s">
        <v>23</v>
      </c>
      <c r="D29" t="s">
        <v>34</v>
      </c>
      <c r="E29" t="s">
        <v>228</v>
      </c>
      <c r="F29" t="s">
        <v>11</v>
      </c>
      <c r="G29" s="4">
        <v>44765</v>
      </c>
      <c r="H29" s="8">
        <v>50873</v>
      </c>
      <c r="I29">
        <v>90</v>
      </c>
      <c r="J29" t="s">
        <v>38</v>
      </c>
      <c r="K29" t="s">
        <v>200</v>
      </c>
      <c r="L29" s="11">
        <v>4</v>
      </c>
      <c r="M29" t="s">
        <v>212</v>
      </c>
      <c r="N29" s="9" t="s">
        <v>334</v>
      </c>
      <c r="O29" s="6">
        <v>4069.84</v>
      </c>
    </row>
    <row r="30" spans="2:15" x14ac:dyDescent="0.25">
      <c r="B30" t="s">
        <v>67</v>
      </c>
      <c r="C30" t="s">
        <v>36</v>
      </c>
      <c r="D30" t="s">
        <v>30</v>
      </c>
      <c r="E30" t="s">
        <v>237</v>
      </c>
      <c r="F30" t="s">
        <v>21</v>
      </c>
      <c r="G30" s="4">
        <v>43233</v>
      </c>
      <c r="H30" s="8">
        <v>85312</v>
      </c>
      <c r="I30">
        <v>66</v>
      </c>
      <c r="J30" t="s">
        <v>38</v>
      </c>
      <c r="K30" t="s">
        <v>201</v>
      </c>
      <c r="L30" s="11">
        <v>8.1999999999999993</v>
      </c>
      <c r="M30" t="s">
        <v>210</v>
      </c>
      <c r="N30" s="9" t="s">
        <v>331</v>
      </c>
      <c r="O30" s="6">
        <v>1706.24</v>
      </c>
    </row>
    <row r="31" spans="2:15" x14ac:dyDescent="0.25">
      <c r="B31" t="s">
        <v>68</v>
      </c>
      <c r="C31" t="s">
        <v>19</v>
      </c>
      <c r="D31" t="s">
        <v>34</v>
      </c>
      <c r="E31" t="s">
        <v>238</v>
      </c>
      <c r="F31" t="s">
        <v>37</v>
      </c>
      <c r="G31" s="4">
        <v>42202</v>
      </c>
      <c r="H31" s="8">
        <v>83604</v>
      </c>
      <c r="I31">
        <v>68</v>
      </c>
      <c r="J31" t="s">
        <v>38</v>
      </c>
      <c r="K31" t="s">
        <v>203</v>
      </c>
      <c r="L31" s="11">
        <v>11</v>
      </c>
      <c r="M31" t="s">
        <v>210</v>
      </c>
      <c r="N31" s="9" t="s">
        <v>331</v>
      </c>
      <c r="O31" s="6">
        <v>1672.08</v>
      </c>
    </row>
    <row r="32" spans="2:15" x14ac:dyDescent="0.25">
      <c r="B32" t="s">
        <v>69</v>
      </c>
      <c r="C32" t="s">
        <v>23</v>
      </c>
      <c r="D32" t="s">
        <v>14</v>
      </c>
      <c r="E32" t="s">
        <v>239</v>
      </c>
      <c r="F32" t="s">
        <v>28</v>
      </c>
      <c r="G32" s="4">
        <v>42132</v>
      </c>
      <c r="H32" s="8">
        <v>97055</v>
      </c>
      <c r="I32">
        <v>80</v>
      </c>
      <c r="J32" t="s">
        <v>38</v>
      </c>
      <c r="K32" t="s">
        <v>204</v>
      </c>
      <c r="L32" s="11">
        <v>11.2</v>
      </c>
      <c r="M32" t="s">
        <v>211</v>
      </c>
      <c r="N32" s="9" t="s">
        <v>333</v>
      </c>
      <c r="O32" s="6">
        <v>4852.75</v>
      </c>
    </row>
    <row r="33" spans="2:15" x14ac:dyDescent="0.25">
      <c r="B33" t="s">
        <v>70</v>
      </c>
      <c r="C33" t="s">
        <v>36</v>
      </c>
      <c r="D33" t="s">
        <v>27</v>
      </c>
      <c r="E33" t="s">
        <v>240</v>
      </c>
      <c r="F33" t="s">
        <v>11</v>
      </c>
      <c r="G33" s="4">
        <v>45195</v>
      </c>
      <c r="H33" s="8">
        <v>66069</v>
      </c>
      <c r="I33">
        <v>72</v>
      </c>
      <c r="J33" t="s">
        <v>38</v>
      </c>
      <c r="K33" t="s">
        <v>200</v>
      </c>
      <c r="L33" s="11">
        <v>2.8</v>
      </c>
      <c r="M33" t="s">
        <v>211</v>
      </c>
      <c r="N33" s="9" t="s">
        <v>333</v>
      </c>
      <c r="O33" s="6">
        <v>3303.4500000000003</v>
      </c>
    </row>
    <row r="34" spans="2:15" x14ac:dyDescent="0.25">
      <c r="B34" t="s">
        <v>71</v>
      </c>
      <c r="C34" t="s">
        <v>72</v>
      </c>
      <c r="D34" t="s">
        <v>10</v>
      </c>
      <c r="E34" t="s">
        <v>241</v>
      </c>
      <c r="F34" t="s">
        <v>11</v>
      </c>
      <c r="G34" s="4">
        <v>43744</v>
      </c>
      <c r="H34" s="8">
        <v>90157</v>
      </c>
      <c r="I34">
        <v>58</v>
      </c>
      <c r="J34" t="s">
        <v>38</v>
      </c>
      <c r="K34" t="s">
        <v>200</v>
      </c>
      <c r="L34" s="11">
        <v>6.8</v>
      </c>
      <c r="M34" t="s">
        <v>210</v>
      </c>
      <c r="N34" s="9" t="s">
        <v>331</v>
      </c>
      <c r="O34" s="6">
        <v>1803.14</v>
      </c>
    </row>
    <row r="35" spans="2:15" x14ac:dyDescent="0.25">
      <c r="B35" t="s">
        <v>73</v>
      </c>
      <c r="C35" t="s">
        <v>43</v>
      </c>
      <c r="D35" t="s">
        <v>20</v>
      </c>
      <c r="E35" t="s">
        <v>242</v>
      </c>
      <c r="F35" t="s">
        <v>74</v>
      </c>
      <c r="G35" s="4">
        <v>44578</v>
      </c>
      <c r="H35" s="8">
        <v>59899</v>
      </c>
      <c r="I35">
        <v>78</v>
      </c>
      <c r="J35" t="s">
        <v>38</v>
      </c>
      <c r="K35" t="s">
        <v>199</v>
      </c>
      <c r="L35" s="11">
        <v>4.5</v>
      </c>
      <c r="M35" t="s">
        <v>211</v>
      </c>
      <c r="N35" s="9" t="s">
        <v>333</v>
      </c>
      <c r="O35" s="6">
        <v>2994.9500000000003</v>
      </c>
    </row>
    <row r="36" spans="2:15" x14ac:dyDescent="0.25">
      <c r="B36" t="s">
        <v>75</v>
      </c>
      <c r="C36" t="s">
        <v>9</v>
      </c>
      <c r="D36" t="s">
        <v>48</v>
      </c>
      <c r="E36" t="s">
        <v>243</v>
      </c>
      <c r="F36" t="s">
        <v>21</v>
      </c>
      <c r="G36" s="4">
        <v>42801</v>
      </c>
      <c r="H36" s="8">
        <v>113389</v>
      </c>
      <c r="I36">
        <v>30</v>
      </c>
      <c r="J36" t="s">
        <v>38</v>
      </c>
      <c r="K36" t="s">
        <v>201</v>
      </c>
      <c r="L36" s="11">
        <v>9.3000000000000007</v>
      </c>
      <c r="M36" t="s">
        <v>209</v>
      </c>
      <c r="N36" s="9" t="s">
        <v>332</v>
      </c>
      <c r="O36" s="6">
        <v>0</v>
      </c>
    </row>
    <row r="37" spans="2:15" x14ac:dyDescent="0.25">
      <c r="B37" t="s">
        <v>76</v>
      </c>
      <c r="C37" t="s">
        <v>10</v>
      </c>
      <c r="D37" t="s">
        <v>10</v>
      </c>
      <c r="E37" t="s">
        <v>322</v>
      </c>
      <c r="F37" t="s">
        <v>11</v>
      </c>
      <c r="G37" s="4">
        <v>42013</v>
      </c>
      <c r="H37" s="8">
        <v>102691</v>
      </c>
      <c r="I37">
        <v>52</v>
      </c>
      <c r="J37" t="s">
        <v>38</v>
      </c>
      <c r="K37" t="s">
        <v>200</v>
      </c>
      <c r="L37" s="11">
        <v>11.5</v>
      </c>
      <c r="M37" t="s">
        <v>210</v>
      </c>
      <c r="N37" s="9" t="s">
        <v>331</v>
      </c>
      <c r="O37" s="6">
        <v>2053.8200000000002</v>
      </c>
    </row>
    <row r="38" spans="2:15" x14ac:dyDescent="0.25">
      <c r="B38" t="s">
        <v>77</v>
      </c>
      <c r="C38" t="s">
        <v>19</v>
      </c>
      <c r="D38" t="s">
        <v>30</v>
      </c>
      <c r="E38" t="s">
        <v>220</v>
      </c>
      <c r="F38" t="s">
        <v>28</v>
      </c>
      <c r="G38" s="4">
        <v>44628</v>
      </c>
      <c r="H38" s="8">
        <v>111845</v>
      </c>
      <c r="I38">
        <v>98</v>
      </c>
      <c r="J38" t="s">
        <v>38</v>
      </c>
      <c r="K38" t="s">
        <v>204</v>
      </c>
      <c r="L38" s="11">
        <v>4.3</v>
      </c>
      <c r="M38" t="s">
        <v>213</v>
      </c>
      <c r="N38" s="9" t="s">
        <v>335</v>
      </c>
      <c r="O38" s="6">
        <v>13421.4</v>
      </c>
    </row>
    <row r="39" spans="2:15" x14ac:dyDescent="0.25">
      <c r="B39" t="s">
        <v>78</v>
      </c>
      <c r="C39" t="s">
        <v>79</v>
      </c>
      <c r="D39" t="s">
        <v>10</v>
      </c>
      <c r="E39" t="s">
        <v>244</v>
      </c>
      <c r="F39" t="s">
        <v>37</v>
      </c>
      <c r="G39" s="4">
        <v>44741</v>
      </c>
      <c r="H39" s="8">
        <v>69219</v>
      </c>
      <c r="I39">
        <v>93</v>
      </c>
      <c r="J39" t="s">
        <v>38</v>
      </c>
      <c r="K39" t="s">
        <v>203</v>
      </c>
      <c r="L39" s="11">
        <v>4</v>
      </c>
      <c r="M39" t="s">
        <v>212</v>
      </c>
      <c r="N39" s="9" t="s">
        <v>334</v>
      </c>
      <c r="O39" s="6">
        <v>5537.52</v>
      </c>
    </row>
    <row r="40" spans="2:15" x14ac:dyDescent="0.25">
      <c r="B40" t="s">
        <v>80</v>
      </c>
      <c r="C40" t="s">
        <v>36</v>
      </c>
      <c r="D40" t="s">
        <v>24</v>
      </c>
      <c r="E40" t="s">
        <v>245</v>
      </c>
      <c r="F40" t="s">
        <v>21</v>
      </c>
      <c r="G40" s="4">
        <v>43949</v>
      </c>
      <c r="H40" s="8">
        <v>83604</v>
      </c>
      <c r="I40">
        <v>80</v>
      </c>
      <c r="J40" t="s">
        <v>25</v>
      </c>
      <c r="K40" t="s">
        <v>201</v>
      </c>
      <c r="L40" s="11">
        <v>6.2</v>
      </c>
      <c r="M40" t="s">
        <v>211</v>
      </c>
      <c r="N40" s="9" t="s">
        <v>333</v>
      </c>
      <c r="O40" s="6">
        <v>4180.2</v>
      </c>
    </row>
    <row r="41" spans="2:15" x14ac:dyDescent="0.25">
      <c r="B41" t="s">
        <v>81</v>
      </c>
      <c r="C41" t="s">
        <v>72</v>
      </c>
      <c r="D41" t="s">
        <v>40</v>
      </c>
      <c r="E41" t="s">
        <v>246</v>
      </c>
      <c r="F41" t="s">
        <v>28</v>
      </c>
      <c r="G41" s="4">
        <v>42987</v>
      </c>
      <c r="H41" s="8">
        <v>57514</v>
      </c>
      <c r="I41">
        <v>68</v>
      </c>
      <c r="J41" t="s">
        <v>38</v>
      </c>
      <c r="K41" t="s">
        <v>204</v>
      </c>
      <c r="L41" s="11">
        <v>8.8000000000000007</v>
      </c>
      <c r="M41" t="s">
        <v>210</v>
      </c>
      <c r="N41" s="9" t="s">
        <v>331</v>
      </c>
      <c r="O41" s="6">
        <v>1150.28</v>
      </c>
    </row>
    <row r="42" spans="2:15" x14ac:dyDescent="0.25">
      <c r="B42" t="s">
        <v>82</v>
      </c>
      <c r="C42" t="s">
        <v>9</v>
      </c>
      <c r="D42" t="s">
        <v>30</v>
      </c>
      <c r="E42" t="s">
        <v>247</v>
      </c>
      <c r="F42" t="s">
        <v>37</v>
      </c>
      <c r="G42" s="4">
        <v>43181</v>
      </c>
      <c r="H42" s="8">
        <v>86245</v>
      </c>
      <c r="I42">
        <v>71</v>
      </c>
      <c r="J42" t="s">
        <v>25</v>
      </c>
      <c r="K42" t="s">
        <v>203</v>
      </c>
      <c r="L42" s="11">
        <v>8.3000000000000007</v>
      </c>
      <c r="M42" t="s">
        <v>211</v>
      </c>
      <c r="N42" s="9" t="s">
        <v>333</v>
      </c>
      <c r="O42" s="6">
        <v>4312.25</v>
      </c>
    </row>
    <row r="43" spans="2:15" x14ac:dyDescent="0.25">
      <c r="B43" t="s">
        <v>83</v>
      </c>
      <c r="C43" t="s">
        <v>84</v>
      </c>
      <c r="D43" t="s">
        <v>14</v>
      </c>
      <c r="E43" t="s">
        <v>248</v>
      </c>
      <c r="F43" t="s">
        <v>37</v>
      </c>
      <c r="G43" s="4">
        <v>44017</v>
      </c>
      <c r="H43" s="8">
        <v>52407</v>
      </c>
      <c r="I43">
        <v>55</v>
      </c>
      <c r="J43" t="s">
        <v>38</v>
      </c>
      <c r="K43" t="s">
        <v>203</v>
      </c>
      <c r="L43" s="11">
        <v>6</v>
      </c>
      <c r="M43" t="s">
        <v>210</v>
      </c>
      <c r="N43" s="9" t="s">
        <v>331</v>
      </c>
      <c r="O43" s="6">
        <v>1048.1400000000001</v>
      </c>
    </row>
    <row r="44" spans="2:15" x14ac:dyDescent="0.25">
      <c r="B44" t="s">
        <v>85</v>
      </c>
      <c r="C44" t="s">
        <v>53</v>
      </c>
      <c r="D44" t="s">
        <v>24</v>
      </c>
      <c r="E44" t="s">
        <v>249</v>
      </c>
      <c r="F44" t="s">
        <v>28</v>
      </c>
      <c r="G44" s="4">
        <v>43549</v>
      </c>
      <c r="H44" s="8">
        <v>66606</v>
      </c>
      <c r="I44">
        <v>93</v>
      </c>
      <c r="J44" t="s">
        <v>86</v>
      </c>
      <c r="K44" t="s">
        <v>204</v>
      </c>
      <c r="L44" s="11">
        <v>7.3</v>
      </c>
      <c r="M44" t="s">
        <v>212</v>
      </c>
      <c r="N44" s="9" t="s">
        <v>334</v>
      </c>
      <c r="O44" s="6">
        <v>5328.4800000000005</v>
      </c>
    </row>
    <row r="45" spans="2:15" x14ac:dyDescent="0.25">
      <c r="B45" t="s">
        <v>87</v>
      </c>
      <c r="C45" t="s">
        <v>72</v>
      </c>
      <c r="D45" t="s">
        <v>44</v>
      </c>
      <c r="E45" t="s">
        <v>250</v>
      </c>
      <c r="F45" t="s">
        <v>11</v>
      </c>
      <c r="G45" s="4">
        <v>43716</v>
      </c>
      <c r="H45" s="8">
        <v>81896</v>
      </c>
      <c r="I45">
        <v>79</v>
      </c>
      <c r="J45" t="s">
        <v>86</v>
      </c>
      <c r="K45" t="s">
        <v>200</v>
      </c>
      <c r="L45" s="11">
        <v>6.8</v>
      </c>
      <c r="M45" t="s">
        <v>211</v>
      </c>
      <c r="N45" s="9" t="s">
        <v>333</v>
      </c>
      <c r="O45" s="6">
        <v>4094.8</v>
      </c>
    </row>
    <row r="46" spans="2:15" x14ac:dyDescent="0.25">
      <c r="B46" t="s">
        <v>88</v>
      </c>
      <c r="C46" t="s">
        <v>58</v>
      </c>
      <c r="D46" t="s">
        <v>56</v>
      </c>
      <c r="E46" t="s">
        <v>251</v>
      </c>
      <c r="F46" t="s">
        <v>37</v>
      </c>
      <c r="G46" s="4">
        <v>42565</v>
      </c>
      <c r="H46" s="8">
        <v>78402</v>
      </c>
      <c r="I46">
        <v>54</v>
      </c>
      <c r="J46" t="s">
        <v>38</v>
      </c>
      <c r="K46" t="s">
        <v>203</v>
      </c>
      <c r="L46" s="11">
        <v>10</v>
      </c>
      <c r="M46" t="s">
        <v>210</v>
      </c>
      <c r="N46" s="9" t="s">
        <v>331</v>
      </c>
      <c r="O46" s="6">
        <v>1568.04</v>
      </c>
    </row>
    <row r="47" spans="2:15" x14ac:dyDescent="0.25">
      <c r="B47" t="s">
        <v>89</v>
      </c>
      <c r="C47" t="s">
        <v>23</v>
      </c>
      <c r="D47" t="s">
        <v>56</v>
      </c>
      <c r="E47" t="s">
        <v>252</v>
      </c>
      <c r="F47" t="s">
        <v>28</v>
      </c>
      <c r="G47" s="4">
        <v>42470</v>
      </c>
      <c r="H47" s="8">
        <v>105498</v>
      </c>
      <c r="I47">
        <v>76</v>
      </c>
      <c r="J47" t="s">
        <v>38</v>
      </c>
      <c r="K47" t="s">
        <v>204</v>
      </c>
      <c r="L47" s="11">
        <v>10.199999999999999</v>
      </c>
      <c r="M47" t="s">
        <v>211</v>
      </c>
      <c r="N47" s="9" t="s">
        <v>333</v>
      </c>
      <c r="O47" s="6">
        <v>5274.9000000000005</v>
      </c>
    </row>
    <row r="48" spans="2:15" x14ac:dyDescent="0.25">
      <c r="B48" t="s">
        <v>90</v>
      </c>
      <c r="C48" t="s">
        <v>79</v>
      </c>
      <c r="D48" t="s">
        <v>27</v>
      </c>
      <c r="E48" t="s">
        <v>253</v>
      </c>
      <c r="F48" t="s">
        <v>15</v>
      </c>
      <c r="G48" s="4">
        <v>43745</v>
      </c>
      <c r="H48" s="8">
        <v>91749</v>
      </c>
      <c r="I48">
        <v>72</v>
      </c>
      <c r="J48" t="s">
        <v>25</v>
      </c>
      <c r="K48" t="s">
        <v>202</v>
      </c>
      <c r="L48" s="11">
        <v>6.8</v>
      </c>
      <c r="M48" t="s">
        <v>211</v>
      </c>
      <c r="N48" s="9" t="s">
        <v>333</v>
      </c>
      <c r="O48" s="6">
        <v>4587.45</v>
      </c>
    </row>
    <row r="49" spans="2:15" x14ac:dyDescent="0.25">
      <c r="B49" t="s">
        <v>91</v>
      </c>
      <c r="C49" t="s">
        <v>58</v>
      </c>
      <c r="D49" t="s">
        <v>27</v>
      </c>
      <c r="E49" t="s">
        <v>254</v>
      </c>
      <c r="F49" t="s">
        <v>28</v>
      </c>
      <c r="G49" s="4">
        <v>44437</v>
      </c>
      <c r="H49" s="8">
        <v>99935</v>
      </c>
      <c r="I49">
        <v>84</v>
      </c>
      <c r="J49" t="s">
        <v>86</v>
      </c>
      <c r="K49" t="s">
        <v>204</v>
      </c>
      <c r="L49" s="11">
        <v>4.9000000000000004</v>
      </c>
      <c r="M49" t="s">
        <v>211</v>
      </c>
      <c r="N49" s="9" t="s">
        <v>333</v>
      </c>
      <c r="O49" s="6">
        <v>4996.75</v>
      </c>
    </row>
    <row r="50" spans="2:15" x14ac:dyDescent="0.25">
      <c r="B50" t="s">
        <v>92</v>
      </c>
      <c r="C50" t="s">
        <v>19</v>
      </c>
      <c r="D50" t="s">
        <v>51</v>
      </c>
      <c r="E50" t="s">
        <v>255</v>
      </c>
      <c r="F50" t="s">
        <v>11</v>
      </c>
      <c r="G50" s="4">
        <v>42761</v>
      </c>
      <c r="H50" s="8">
        <v>83531</v>
      </c>
      <c r="I50">
        <v>30</v>
      </c>
      <c r="J50" t="s">
        <v>25</v>
      </c>
      <c r="K50" t="s">
        <v>200</v>
      </c>
      <c r="L50" s="11">
        <v>9.4</v>
      </c>
      <c r="M50" t="s">
        <v>209</v>
      </c>
      <c r="N50" s="9" t="s">
        <v>332</v>
      </c>
      <c r="O50" s="6">
        <v>0</v>
      </c>
    </row>
    <row r="51" spans="2:15" x14ac:dyDescent="0.25">
      <c r="B51" t="s">
        <v>93</v>
      </c>
      <c r="C51" t="s">
        <v>53</v>
      </c>
      <c r="D51" t="s">
        <v>27</v>
      </c>
      <c r="E51" t="s">
        <v>256</v>
      </c>
      <c r="F51" t="s">
        <v>15</v>
      </c>
      <c r="G51" s="4">
        <v>43981</v>
      </c>
      <c r="H51" s="8">
        <v>75023</v>
      </c>
      <c r="I51">
        <v>68</v>
      </c>
      <c r="J51" t="s">
        <v>38</v>
      </c>
      <c r="K51" t="s">
        <v>202</v>
      </c>
      <c r="L51" s="11">
        <v>6.1</v>
      </c>
      <c r="M51" t="s">
        <v>210</v>
      </c>
      <c r="N51" s="9" t="s">
        <v>331</v>
      </c>
      <c r="O51" s="6">
        <v>1500.46</v>
      </c>
    </row>
    <row r="52" spans="2:15" x14ac:dyDescent="0.25">
      <c r="B52" t="s">
        <v>94</v>
      </c>
      <c r="C52" t="s">
        <v>43</v>
      </c>
      <c r="D52" t="s">
        <v>51</v>
      </c>
      <c r="E52" t="s">
        <v>257</v>
      </c>
      <c r="F52" t="s">
        <v>74</v>
      </c>
      <c r="G52" s="4">
        <v>44612</v>
      </c>
      <c r="H52" s="8">
        <v>93290</v>
      </c>
      <c r="I52">
        <v>53</v>
      </c>
      <c r="J52" t="s">
        <v>38</v>
      </c>
      <c r="K52" t="s">
        <v>199</v>
      </c>
      <c r="L52" s="11">
        <v>4.4000000000000004</v>
      </c>
      <c r="M52" t="s">
        <v>210</v>
      </c>
      <c r="N52" s="9" t="s">
        <v>331</v>
      </c>
      <c r="O52" s="6">
        <v>1865.8</v>
      </c>
    </row>
    <row r="53" spans="2:15" x14ac:dyDescent="0.25">
      <c r="B53" t="s">
        <v>95</v>
      </c>
      <c r="C53" t="s">
        <v>13</v>
      </c>
      <c r="D53" t="s">
        <v>51</v>
      </c>
      <c r="E53" t="s">
        <v>258</v>
      </c>
      <c r="F53" t="s">
        <v>28</v>
      </c>
      <c r="G53" s="4">
        <v>42628</v>
      </c>
      <c r="H53" s="8">
        <v>115527</v>
      </c>
      <c r="I53">
        <v>63</v>
      </c>
      <c r="J53" t="s">
        <v>86</v>
      </c>
      <c r="K53" t="s">
        <v>204</v>
      </c>
      <c r="L53" s="11">
        <v>9.8000000000000007</v>
      </c>
      <c r="M53" t="s">
        <v>210</v>
      </c>
      <c r="N53" s="9" t="s">
        <v>331</v>
      </c>
      <c r="O53" s="6">
        <v>2310.54</v>
      </c>
    </row>
    <row r="54" spans="2:15" x14ac:dyDescent="0.25">
      <c r="B54" t="s">
        <v>96</v>
      </c>
      <c r="C54" t="s">
        <v>23</v>
      </c>
      <c r="D54" t="s">
        <v>34</v>
      </c>
      <c r="E54" t="s">
        <v>228</v>
      </c>
      <c r="F54" t="s">
        <v>21</v>
      </c>
      <c r="G54" s="4">
        <v>43745</v>
      </c>
      <c r="H54" s="8">
        <v>55920</v>
      </c>
      <c r="I54">
        <v>84</v>
      </c>
      <c r="J54" t="s">
        <v>38</v>
      </c>
      <c r="K54" t="s">
        <v>201</v>
      </c>
      <c r="L54" s="11">
        <v>6.8</v>
      </c>
      <c r="M54" t="s">
        <v>211</v>
      </c>
      <c r="N54" s="9" t="s">
        <v>333</v>
      </c>
      <c r="O54" s="6">
        <v>2796</v>
      </c>
    </row>
    <row r="55" spans="2:15" x14ac:dyDescent="0.25">
      <c r="B55" t="s">
        <v>97</v>
      </c>
      <c r="C55" t="s">
        <v>9</v>
      </c>
      <c r="D55" t="s">
        <v>27</v>
      </c>
      <c r="E55" t="s">
        <v>219</v>
      </c>
      <c r="F55" t="s">
        <v>37</v>
      </c>
      <c r="G55" s="4">
        <v>43464</v>
      </c>
      <c r="H55" s="8">
        <v>80189</v>
      </c>
      <c r="I55">
        <v>30</v>
      </c>
      <c r="J55" t="s">
        <v>38</v>
      </c>
      <c r="K55" t="s">
        <v>203</v>
      </c>
      <c r="L55" s="11">
        <v>7.5</v>
      </c>
      <c r="M55" t="s">
        <v>209</v>
      </c>
      <c r="N55" s="9" t="s">
        <v>332</v>
      </c>
      <c r="O55" s="6">
        <v>0</v>
      </c>
    </row>
    <row r="56" spans="2:15" x14ac:dyDescent="0.25">
      <c r="B56" t="s">
        <v>98</v>
      </c>
      <c r="C56" t="s">
        <v>9</v>
      </c>
      <c r="D56" t="s">
        <v>99</v>
      </c>
      <c r="E56" t="s">
        <v>259</v>
      </c>
      <c r="F56" t="s">
        <v>74</v>
      </c>
      <c r="G56" s="4">
        <v>44189</v>
      </c>
      <c r="H56" s="8">
        <v>118947</v>
      </c>
      <c r="I56">
        <v>96</v>
      </c>
      <c r="J56" t="s">
        <v>38</v>
      </c>
      <c r="K56" t="s">
        <v>199</v>
      </c>
      <c r="L56" s="11">
        <v>5.5</v>
      </c>
      <c r="M56" t="s">
        <v>213</v>
      </c>
      <c r="N56" s="9" t="s">
        <v>335</v>
      </c>
      <c r="O56" s="6">
        <v>14273.64</v>
      </c>
    </row>
    <row r="57" spans="2:15" x14ac:dyDescent="0.25">
      <c r="B57" t="s">
        <v>100</v>
      </c>
      <c r="C57" t="s">
        <v>43</v>
      </c>
      <c r="D57" t="s">
        <v>101</v>
      </c>
      <c r="E57" t="s">
        <v>260</v>
      </c>
      <c r="F57" t="s">
        <v>11</v>
      </c>
      <c r="G57" s="4">
        <v>45053</v>
      </c>
      <c r="H57" s="8">
        <v>83604</v>
      </c>
      <c r="I57">
        <v>54</v>
      </c>
      <c r="J57" t="s">
        <v>38</v>
      </c>
      <c r="K57" t="s">
        <v>200</v>
      </c>
      <c r="L57" s="11">
        <v>3.2</v>
      </c>
      <c r="M57" t="s">
        <v>210</v>
      </c>
      <c r="N57" s="9" t="s">
        <v>331</v>
      </c>
      <c r="O57" s="6">
        <v>1672.08</v>
      </c>
    </row>
    <row r="58" spans="2:15" x14ac:dyDescent="0.25">
      <c r="B58" t="s">
        <v>102</v>
      </c>
      <c r="C58" t="s">
        <v>23</v>
      </c>
      <c r="D58" t="s">
        <v>99</v>
      </c>
      <c r="E58" t="s">
        <v>261</v>
      </c>
      <c r="F58" t="s">
        <v>28</v>
      </c>
      <c r="G58" s="4">
        <v>44148</v>
      </c>
      <c r="H58" s="8">
        <v>83604</v>
      </c>
      <c r="I58">
        <v>75</v>
      </c>
      <c r="J58" t="s">
        <v>38</v>
      </c>
      <c r="K58" t="s">
        <v>204</v>
      </c>
      <c r="L58" s="11">
        <v>5.6</v>
      </c>
      <c r="M58" t="s">
        <v>211</v>
      </c>
      <c r="N58" s="9" t="s">
        <v>333</v>
      </c>
      <c r="O58" s="6">
        <v>4180.2</v>
      </c>
    </row>
    <row r="59" spans="2:15" x14ac:dyDescent="0.25">
      <c r="B59" t="s">
        <v>103</v>
      </c>
      <c r="C59" t="s">
        <v>84</v>
      </c>
      <c r="D59" t="s">
        <v>20</v>
      </c>
      <c r="E59" t="s">
        <v>262</v>
      </c>
      <c r="F59" t="s">
        <v>74</v>
      </c>
      <c r="G59" s="4">
        <v>43138</v>
      </c>
      <c r="H59" s="8">
        <v>91655</v>
      </c>
      <c r="I59">
        <v>95</v>
      </c>
      <c r="J59" t="s">
        <v>38</v>
      </c>
      <c r="K59" t="s">
        <v>199</v>
      </c>
      <c r="L59" s="11">
        <v>8.4</v>
      </c>
      <c r="M59" t="s">
        <v>212</v>
      </c>
      <c r="N59" s="9" t="s">
        <v>334</v>
      </c>
      <c r="O59" s="6">
        <v>7332.4000000000005</v>
      </c>
    </row>
    <row r="60" spans="2:15" x14ac:dyDescent="0.25">
      <c r="B60" t="s">
        <v>104</v>
      </c>
      <c r="C60" t="s">
        <v>9</v>
      </c>
      <c r="D60" t="s">
        <v>10</v>
      </c>
      <c r="E60" t="s">
        <v>214</v>
      </c>
      <c r="F60" t="s">
        <v>11</v>
      </c>
      <c r="G60" s="4">
        <v>45255</v>
      </c>
      <c r="H60" s="8">
        <v>49435</v>
      </c>
      <c r="I60">
        <v>68</v>
      </c>
      <c r="J60" t="s">
        <v>25</v>
      </c>
      <c r="K60" t="s">
        <v>200</v>
      </c>
      <c r="L60" s="11">
        <v>2.6</v>
      </c>
      <c r="M60" t="s">
        <v>210</v>
      </c>
      <c r="N60" s="9" t="s">
        <v>331</v>
      </c>
      <c r="O60" s="6">
        <v>988.7</v>
      </c>
    </row>
    <row r="61" spans="2:15" x14ac:dyDescent="0.25">
      <c r="B61" t="s">
        <v>105</v>
      </c>
      <c r="C61" t="s">
        <v>9</v>
      </c>
      <c r="D61" t="s">
        <v>30</v>
      </c>
      <c r="E61" t="s">
        <v>247</v>
      </c>
      <c r="F61" t="s">
        <v>37</v>
      </c>
      <c r="G61" s="4">
        <v>45217</v>
      </c>
      <c r="H61" s="8">
        <v>110381</v>
      </c>
      <c r="I61">
        <v>93</v>
      </c>
      <c r="J61" t="s">
        <v>38</v>
      </c>
      <c r="K61" t="s">
        <v>203</v>
      </c>
      <c r="L61" s="11">
        <v>2.7</v>
      </c>
      <c r="M61" t="s">
        <v>212</v>
      </c>
      <c r="N61" s="9" t="s">
        <v>334</v>
      </c>
      <c r="O61" s="6">
        <v>8830.48</v>
      </c>
    </row>
    <row r="62" spans="2:15" x14ac:dyDescent="0.25">
      <c r="B62" t="s">
        <v>106</v>
      </c>
      <c r="C62" t="s">
        <v>36</v>
      </c>
      <c r="D62" t="s">
        <v>101</v>
      </c>
      <c r="E62" t="s">
        <v>263</v>
      </c>
      <c r="F62" t="s">
        <v>74</v>
      </c>
      <c r="G62" s="4">
        <v>43960</v>
      </c>
      <c r="H62" s="8">
        <v>114748</v>
      </c>
      <c r="I62">
        <v>33</v>
      </c>
      <c r="J62" t="s">
        <v>38</v>
      </c>
      <c r="K62" t="s">
        <v>199</v>
      </c>
      <c r="L62" s="11">
        <v>6.2</v>
      </c>
      <c r="M62" t="s">
        <v>209</v>
      </c>
      <c r="N62" s="9" t="s">
        <v>332</v>
      </c>
      <c r="O62" s="6">
        <v>0</v>
      </c>
    </row>
    <row r="63" spans="2:15" x14ac:dyDescent="0.25">
      <c r="B63" t="s">
        <v>107</v>
      </c>
      <c r="C63" t="s">
        <v>47</v>
      </c>
      <c r="D63" t="s">
        <v>27</v>
      </c>
      <c r="E63" t="s">
        <v>264</v>
      </c>
      <c r="F63" t="s">
        <v>28</v>
      </c>
      <c r="G63" s="4">
        <v>42889</v>
      </c>
      <c r="H63" s="8">
        <v>63302</v>
      </c>
      <c r="I63">
        <v>91</v>
      </c>
      <c r="J63" t="s">
        <v>38</v>
      </c>
      <c r="K63" t="s">
        <v>204</v>
      </c>
      <c r="L63" s="11">
        <v>9.1</v>
      </c>
      <c r="M63" t="s">
        <v>212</v>
      </c>
      <c r="N63" s="9" t="s">
        <v>334</v>
      </c>
      <c r="O63" s="6">
        <v>5064.16</v>
      </c>
    </row>
    <row r="64" spans="2:15" x14ac:dyDescent="0.25">
      <c r="B64" t="s">
        <v>108</v>
      </c>
      <c r="C64" t="s">
        <v>47</v>
      </c>
      <c r="D64" t="s">
        <v>40</v>
      </c>
      <c r="E64" t="s">
        <v>265</v>
      </c>
      <c r="F64" t="s">
        <v>11</v>
      </c>
      <c r="G64" s="4">
        <v>42122</v>
      </c>
      <c r="H64" s="8">
        <v>75519</v>
      </c>
      <c r="I64">
        <v>64</v>
      </c>
      <c r="J64" t="s">
        <v>38</v>
      </c>
      <c r="K64" t="s">
        <v>200</v>
      </c>
      <c r="L64" s="11">
        <v>11.2</v>
      </c>
      <c r="M64" t="s">
        <v>210</v>
      </c>
      <c r="N64" s="9" t="s">
        <v>331</v>
      </c>
      <c r="O64" s="6">
        <v>1510.38</v>
      </c>
    </row>
    <row r="65" spans="2:15" x14ac:dyDescent="0.25">
      <c r="B65" t="s">
        <v>109</v>
      </c>
      <c r="C65" t="s">
        <v>43</v>
      </c>
      <c r="D65" t="s">
        <v>51</v>
      </c>
      <c r="E65" t="s">
        <v>257</v>
      </c>
      <c r="F65" t="s">
        <v>21</v>
      </c>
      <c r="G65" s="4">
        <v>42838</v>
      </c>
      <c r="H65" s="8">
        <v>103891</v>
      </c>
      <c r="I65">
        <v>80</v>
      </c>
      <c r="J65" t="s">
        <v>38</v>
      </c>
      <c r="K65" t="s">
        <v>201</v>
      </c>
      <c r="L65" s="11">
        <v>9.1999999999999993</v>
      </c>
      <c r="M65" t="s">
        <v>211</v>
      </c>
      <c r="N65" s="9" t="s">
        <v>333</v>
      </c>
      <c r="O65" s="6">
        <v>5194.55</v>
      </c>
    </row>
    <row r="66" spans="2:15" x14ac:dyDescent="0.25">
      <c r="B66" t="s">
        <v>110</v>
      </c>
      <c r="C66" t="s">
        <v>23</v>
      </c>
      <c r="D66" t="s">
        <v>51</v>
      </c>
      <c r="E66" t="s">
        <v>266</v>
      </c>
      <c r="F66" t="s">
        <v>28</v>
      </c>
      <c r="G66" s="4">
        <v>44827</v>
      </c>
      <c r="H66" s="8">
        <v>83604</v>
      </c>
      <c r="I66">
        <v>46</v>
      </c>
      <c r="J66" t="s">
        <v>25</v>
      </c>
      <c r="K66" t="s">
        <v>204</v>
      </c>
      <c r="L66" s="11">
        <v>3.8</v>
      </c>
      <c r="M66" t="s">
        <v>209</v>
      </c>
      <c r="N66" s="9" t="s">
        <v>332</v>
      </c>
      <c r="O66" s="6">
        <v>0</v>
      </c>
    </row>
    <row r="67" spans="2:15" x14ac:dyDescent="0.25">
      <c r="B67" t="s">
        <v>111</v>
      </c>
      <c r="C67" t="s">
        <v>23</v>
      </c>
      <c r="D67" t="s">
        <v>48</v>
      </c>
      <c r="E67" t="s">
        <v>267</v>
      </c>
      <c r="F67" t="s">
        <v>15</v>
      </c>
      <c r="G67" s="4">
        <v>42685</v>
      </c>
      <c r="H67" s="8">
        <v>50936</v>
      </c>
      <c r="I67">
        <v>99</v>
      </c>
      <c r="J67" t="s">
        <v>38</v>
      </c>
      <c r="K67" t="s">
        <v>202</v>
      </c>
      <c r="L67" s="11">
        <v>9.6999999999999993</v>
      </c>
      <c r="M67" t="s">
        <v>213</v>
      </c>
      <c r="N67" s="9" t="s">
        <v>335</v>
      </c>
      <c r="O67" s="6">
        <v>6112.32</v>
      </c>
    </row>
    <row r="68" spans="2:15" x14ac:dyDescent="0.25">
      <c r="B68" t="s">
        <v>112</v>
      </c>
      <c r="C68" t="s">
        <v>36</v>
      </c>
      <c r="D68" t="s">
        <v>40</v>
      </c>
      <c r="E68" t="s">
        <v>268</v>
      </c>
      <c r="F68" t="s">
        <v>37</v>
      </c>
      <c r="G68" s="4">
        <v>42818</v>
      </c>
      <c r="H68" s="8">
        <v>111240</v>
      </c>
      <c r="I68">
        <v>68</v>
      </c>
      <c r="J68" t="s">
        <v>38</v>
      </c>
      <c r="K68" t="s">
        <v>203</v>
      </c>
      <c r="L68" s="11">
        <v>9.3000000000000007</v>
      </c>
      <c r="M68" t="s">
        <v>210</v>
      </c>
      <c r="N68" s="9" t="s">
        <v>331</v>
      </c>
      <c r="O68" s="6">
        <v>2224.8000000000002</v>
      </c>
    </row>
    <row r="69" spans="2:15" x14ac:dyDescent="0.25">
      <c r="B69" t="s">
        <v>113</v>
      </c>
      <c r="C69" t="s">
        <v>13</v>
      </c>
      <c r="D69" t="s">
        <v>17</v>
      </c>
      <c r="E69" t="s">
        <v>269</v>
      </c>
      <c r="F69" t="s">
        <v>74</v>
      </c>
      <c r="G69" s="4">
        <v>43590</v>
      </c>
      <c r="H69" s="8">
        <v>51567</v>
      </c>
      <c r="I69">
        <v>87</v>
      </c>
      <c r="J69" t="s">
        <v>86</v>
      </c>
      <c r="K69" t="s">
        <v>199</v>
      </c>
      <c r="L69" s="11">
        <v>7.2</v>
      </c>
      <c r="M69" t="s">
        <v>212</v>
      </c>
      <c r="N69" s="9" t="s">
        <v>334</v>
      </c>
      <c r="O69" s="6">
        <v>4125.3599999999997</v>
      </c>
    </row>
    <row r="70" spans="2:15" x14ac:dyDescent="0.25">
      <c r="B70" t="s">
        <v>114</v>
      </c>
      <c r="C70" t="s">
        <v>79</v>
      </c>
      <c r="D70" t="s">
        <v>44</v>
      </c>
      <c r="E70" t="s">
        <v>270</v>
      </c>
      <c r="F70" t="s">
        <v>74</v>
      </c>
      <c r="G70" s="4">
        <v>44402</v>
      </c>
      <c r="H70" s="8">
        <v>83604</v>
      </c>
      <c r="I70">
        <v>36</v>
      </c>
      <c r="J70" t="s">
        <v>38</v>
      </c>
      <c r="K70" t="s">
        <v>199</v>
      </c>
      <c r="L70" s="11">
        <v>5</v>
      </c>
      <c r="M70" t="s">
        <v>209</v>
      </c>
      <c r="N70" s="9" t="s">
        <v>332</v>
      </c>
      <c r="O70" s="6">
        <v>0</v>
      </c>
    </row>
    <row r="71" spans="2:15" x14ac:dyDescent="0.25">
      <c r="B71" t="s">
        <v>115</v>
      </c>
      <c r="C71" t="s">
        <v>47</v>
      </c>
      <c r="D71" t="s">
        <v>40</v>
      </c>
      <c r="E71" t="s">
        <v>265</v>
      </c>
      <c r="F71" t="s">
        <v>74</v>
      </c>
      <c r="G71" s="4">
        <v>43008</v>
      </c>
      <c r="H71" s="8">
        <v>55270</v>
      </c>
      <c r="I71">
        <v>87</v>
      </c>
      <c r="J71" t="s">
        <v>38</v>
      </c>
      <c r="K71" t="s">
        <v>199</v>
      </c>
      <c r="L71" s="11">
        <v>8.8000000000000007</v>
      </c>
      <c r="M71" t="s">
        <v>212</v>
      </c>
      <c r="N71" s="9" t="s">
        <v>334</v>
      </c>
      <c r="O71" s="6">
        <v>4421.6000000000004</v>
      </c>
    </row>
    <row r="72" spans="2:15" x14ac:dyDescent="0.25">
      <c r="B72" t="s">
        <v>116</v>
      </c>
      <c r="C72" t="s">
        <v>117</v>
      </c>
      <c r="D72" t="s">
        <v>99</v>
      </c>
      <c r="E72" t="s">
        <v>271</v>
      </c>
      <c r="F72" t="s">
        <v>37</v>
      </c>
      <c r="G72" s="4">
        <v>42192</v>
      </c>
      <c r="H72" s="8">
        <v>65235</v>
      </c>
      <c r="I72">
        <v>97</v>
      </c>
      <c r="J72" t="s">
        <v>38</v>
      </c>
      <c r="K72" t="s">
        <v>203</v>
      </c>
      <c r="L72" s="11">
        <v>11</v>
      </c>
      <c r="M72" t="s">
        <v>213</v>
      </c>
      <c r="N72" s="9" t="s">
        <v>335</v>
      </c>
      <c r="O72" s="6">
        <v>7828.2</v>
      </c>
    </row>
    <row r="73" spans="2:15" x14ac:dyDescent="0.25">
      <c r="B73" t="s">
        <v>118</v>
      </c>
      <c r="C73" t="s">
        <v>19</v>
      </c>
      <c r="D73" t="s">
        <v>17</v>
      </c>
      <c r="E73" t="s">
        <v>272</v>
      </c>
      <c r="F73" t="s">
        <v>37</v>
      </c>
      <c r="G73" s="4">
        <v>43138</v>
      </c>
      <c r="H73" s="8">
        <v>83604</v>
      </c>
      <c r="I73">
        <v>72</v>
      </c>
      <c r="J73" t="s">
        <v>25</v>
      </c>
      <c r="K73" t="s">
        <v>203</v>
      </c>
      <c r="L73" s="11">
        <v>8.4</v>
      </c>
      <c r="M73" t="s">
        <v>211</v>
      </c>
      <c r="N73" s="9" t="s">
        <v>333</v>
      </c>
      <c r="O73" s="6">
        <v>4180.2</v>
      </c>
    </row>
    <row r="74" spans="2:15" x14ac:dyDescent="0.25">
      <c r="B74" t="s">
        <v>119</v>
      </c>
      <c r="C74" t="s">
        <v>53</v>
      </c>
      <c r="D74" t="s">
        <v>17</v>
      </c>
      <c r="E74" t="s">
        <v>273</v>
      </c>
      <c r="F74" t="s">
        <v>37</v>
      </c>
      <c r="G74" s="4">
        <v>44819</v>
      </c>
      <c r="H74" s="8">
        <v>83604</v>
      </c>
      <c r="I74">
        <v>65</v>
      </c>
      <c r="J74" t="s">
        <v>25</v>
      </c>
      <c r="K74" t="s">
        <v>203</v>
      </c>
      <c r="L74" s="11">
        <v>3.8</v>
      </c>
      <c r="M74" t="s">
        <v>210</v>
      </c>
      <c r="N74" s="9" t="s">
        <v>331</v>
      </c>
      <c r="O74" s="6">
        <v>1672.08</v>
      </c>
    </row>
    <row r="75" spans="2:15" x14ac:dyDescent="0.25">
      <c r="B75" t="s">
        <v>120</v>
      </c>
      <c r="C75" t="s">
        <v>43</v>
      </c>
      <c r="D75" t="s">
        <v>17</v>
      </c>
      <c r="E75" t="s">
        <v>274</v>
      </c>
      <c r="F75" t="s">
        <v>37</v>
      </c>
      <c r="G75" s="4">
        <v>42044</v>
      </c>
      <c r="H75" s="8">
        <v>83604</v>
      </c>
      <c r="I75">
        <v>67</v>
      </c>
      <c r="J75" t="s">
        <v>38</v>
      </c>
      <c r="K75" t="s">
        <v>203</v>
      </c>
      <c r="L75" s="11">
        <v>11.4</v>
      </c>
      <c r="M75" t="s">
        <v>210</v>
      </c>
      <c r="N75" s="9" t="s">
        <v>331</v>
      </c>
      <c r="O75" s="6">
        <v>1672.08</v>
      </c>
    </row>
    <row r="76" spans="2:15" x14ac:dyDescent="0.25">
      <c r="B76" t="s">
        <v>121</v>
      </c>
      <c r="C76" t="s">
        <v>84</v>
      </c>
      <c r="D76" t="s">
        <v>30</v>
      </c>
      <c r="E76" t="s">
        <v>275</v>
      </c>
      <c r="F76" t="s">
        <v>28</v>
      </c>
      <c r="G76" s="4">
        <v>42684</v>
      </c>
      <c r="H76" s="8">
        <v>48823</v>
      </c>
      <c r="I76">
        <v>34</v>
      </c>
      <c r="J76" t="s">
        <v>38</v>
      </c>
      <c r="K76" t="s">
        <v>204</v>
      </c>
      <c r="L76" s="11">
        <v>9.6999999999999993</v>
      </c>
      <c r="M76" t="s">
        <v>209</v>
      </c>
      <c r="N76" s="9" t="s">
        <v>332</v>
      </c>
      <c r="O76" s="6">
        <v>0</v>
      </c>
    </row>
    <row r="77" spans="2:15" x14ac:dyDescent="0.25">
      <c r="B77" t="s">
        <v>122</v>
      </c>
      <c r="C77" t="s">
        <v>43</v>
      </c>
      <c r="D77" t="s">
        <v>17</v>
      </c>
      <c r="E77" t="s">
        <v>274</v>
      </c>
      <c r="F77" t="s">
        <v>21</v>
      </c>
      <c r="G77" s="4">
        <v>43575</v>
      </c>
      <c r="H77" s="8">
        <v>45196</v>
      </c>
      <c r="I77">
        <v>78</v>
      </c>
      <c r="J77" t="s">
        <v>25</v>
      </c>
      <c r="K77" t="s">
        <v>201</v>
      </c>
      <c r="L77" s="11">
        <v>7.2</v>
      </c>
      <c r="M77" t="s">
        <v>211</v>
      </c>
      <c r="N77" s="9" t="s">
        <v>333</v>
      </c>
      <c r="O77" s="6">
        <v>2259.8000000000002</v>
      </c>
    </row>
    <row r="78" spans="2:15" x14ac:dyDescent="0.25">
      <c r="B78" t="s">
        <v>123</v>
      </c>
      <c r="C78" t="s">
        <v>43</v>
      </c>
      <c r="D78" t="s">
        <v>34</v>
      </c>
      <c r="E78" t="s">
        <v>276</v>
      </c>
      <c r="F78" t="s">
        <v>11</v>
      </c>
      <c r="G78" s="4">
        <v>42785</v>
      </c>
      <c r="H78" s="8">
        <v>86246</v>
      </c>
      <c r="I78">
        <v>61</v>
      </c>
      <c r="J78" t="s">
        <v>38</v>
      </c>
      <c r="K78" t="s">
        <v>200</v>
      </c>
      <c r="L78" s="11">
        <v>9.4</v>
      </c>
      <c r="M78" t="s">
        <v>210</v>
      </c>
      <c r="N78" s="9" t="s">
        <v>331</v>
      </c>
      <c r="O78" s="6">
        <v>1724.92</v>
      </c>
    </row>
    <row r="79" spans="2:15" x14ac:dyDescent="0.25">
      <c r="B79" t="s">
        <v>124</v>
      </c>
      <c r="C79" t="s">
        <v>9</v>
      </c>
      <c r="D79" t="s">
        <v>40</v>
      </c>
      <c r="E79" t="s">
        <v>223</v>
      </c>
      <c r="F79" t="s">
        <v>37</v>
      </c>
      <c r="G79" s="4">
        <v>44446</v>
      </c>
      <c r="H79" s="8">
        <v>70359</v>
      </c>
      <c r="I79">
        <v>74</v>
      </c>
      <c r="J79" t="s">
        <v>25</v>
      </c>
      <c r="K79" t="s">
        <v>203</v>
      </c>
      <c r="L79" s="11">
        <v>4.8</v>
      </c>
      <c r="M79" t="s">
        <v>211</v>
      </c>
      <c r="N79" s="9" t="s">
        <v>333</v>
      </c>
      <c r="O79" s="6">
        <v>3517.9500000000003</v>
      </c>
    </row>
    <row r="80" spans="2:15" x14ac:dyDescent="0.25">
      <c r="B80" t="s">
        <v>125</v>
      </c>
      <c r="C80" t="s">
        <v>72</v>
      </c>
      <c r="D80" t="s">
        <v>40</v>
      </c>
      <c r="E80" t="s">
        <v>246</v>
      </c>
      <c r="F80" t="s">
        <v>15</v>
      </c>
      <c r="G80" s="4">
        <v>43599</v>
      </c>
      <c r="H80" s="8">
        <v>83604</v>
      </c>
      <c r="I80">
        <v>94</v>
      </c>
      <c r="J80" t="s">
        <v>38</v>
      </c>
      <c r="K80" t="s">
        <v>202</v>
      </c>
      <c r="L80" s="11">
        <v>7.2</v>
      </c>
      <c r="M80" t="s">
        <v>212</v>
      </c>
      <c r="N80" s="9" t="s">
        <v>334</v>
      </c>
      <c r="O80" s="6">
        <v>6688.32</v>
      </c>
    </row>
    <row r="81" spans="2:15" x14ac:dyDescent="0.25">
      <c r="B81" t="s">
        <v>126</v>
      </c>
      <c r="C81" t="s">
        <v>32</v>
      </c>
      <c r="D81" t="s">
        <v>99</v>
      </c>
      <c r="E81" t="s">
        <v>277</v>
      </c>
      <c r="F81" t="s">
        <v>28</v>
      </c>
      <c r="G81" s="4">
        <v>42330</v>
      </c>
      <c r="H81" s="8">
        <v>86480</v>
      </c>
      <c r="I81">
        <v>68</v>
      </c>
      <c r="J81" t="s">
        <v>38</v>
      </c>
      <c r="K81" t="s">
        <v>204</v>
      </c>
      <c r="L81" s="11">
        <v>10.6</v>
      </c>
      <c r="M81" t="s">
        <v>210</v>
      </c>
      <c r="N81" s="9" t="s">
        <v>331</v>
      </c>
      <c r="O81" s="6">
        <v>1729.6000000000001</v>
      </c>
    </row>
    <row r="82" spans="2:15" x14ac:dyDescent="0.25">
      <c r="B82" t="s">
        <v>127</v>
      </c>
      <c r="C82" t="s">
        <v>13</v>
      </c>
      <c r="D82" t="s">
        <v>24</v>
      </c>
      <c r="E82" t="s">
        <v>278</v>
      </c>
      <c r="F82" t="s">
        <v>74</v>
      </c>
      <c r="G82" s="4">
        <v>43372</v>
      </c>
      <c r="H82" s="8">
        <v>47694</v>
      </c>
      <c r="I82">
        <v>75</v>
      </c>
      <c r="J82" t="s">
        <v>38</v>
      </c>
      <c r="K82" t="s">
        <v>199</v>
      </c>
      <c r="L82" s="11">
        <v>7.8</v>
      </c>
      <c r="M82" t="s">
        <v>211</v>
      </c>
      <c r="N82" s="9" t="s">
        <v>333</v>
      </c>
      <c r="O82" s="6">
        <v>2384.7000000000003</v>
      </c>
    </row>
    <row r="83" spans="2:15" x14ac:dyDescent="0.25">
      <c r="B83" t="s">
        <v>128</v>
      </c>
      <c r="C83" t="s">
        <v>79</v>
      </c>
      <c r="D83" t="s">
        <v>30</v>
      </c>
      <c r="E83" t="s">
        <v>279</v>
      </c>
      <c r="F83" t="s">
        <v>11</v>
      </c>
      <c r="G83" s="4">
        <v>44966</v>
      </c>
      <c r="H83" s="8">
        <v>83724</v>
      </c>
      <c r="I83">
        <v>81</v>
      </c>
      <c r="J83" t="s">
        <v>86</v>
      </c>
      <c r="K83" t="s">
        <v>200</v>
      </c>
      <c r="L83" s="11">
        <v>3.4</v>
      </c>
      <c r="M83" t="s">
        <v>211</v>
      </c>
      <c r="N83" s="9" t="s">
        <v>333</v>
      </c>
      <c r="O83" s="6">
        <v>4186.2</v>
      </c>
    </row>
    <row r="84" spans="2:15" x14ac:dyDescent="0.25">
      <c r="B84" t="s">
        <v>129</v>
      </c>
      <c r="C84" t="s">
        <v>23</v>
      </c>
      <c r="D84" t="s">
        <v>44</v>
      </c>
      <c r="E84" t="s">
        <v>280</v>
      </c>
      <c r="F84" t="s">
        <v>21</v>
      </c>
      <c r="G84" s="4">
        <v>44759</v>
      </c>
      <c r="H84" s="8">
        <v>98299</v>
      </c>
      <c r="I84">
        <v>61</v>
      </c>
      <c r="J84" t="s">
        <v>38</v>
      </c>
      <c r="K84" t="s">
        <v>201</v>
      </c>
      <c r="L84" s="11">
        <v>4</v>
      </c>
      <c r="M84" t="s">
        <v>210</v>
      </c>
      <c r="N84" s="9" t="s">
        <v>331</v>
      </c>
      <c r="O84" s="6">
        <v>1965.98</v>
      </c>
    </row>
    <row r="85" spans="2:15" x14ac:dyDescent="0.25">
      <c r="B85" t="s">
        <v>130</v>
      </c>
      <c r="C85" t="s">
        <v>84</v>
      </c>
      <c r="D85" t="s">
        <v>44</v>
      </c>
      <c r="E85" t="s">
        <v>281</v>
      </c>
      <c r="F85" t="s">
        <v>21</v>
      </c>
      <c r="G85" s="4">
        <v>44379</v>
      </c>
      <c r="H85" s="8">
        <v>83604</v>
      </c>
      <c r="I85">
        <v>68</v>
      </c>
      <c r="J85" t="s">
        <v>38</v>
      </c>
      <c r="K85" t="s">
        <v>201</v>
      </c>
      <c r="L85" s="11">
        <v>5</v>
      </c>
      <c r="M85" t="s">
        <v>210</v>
      </c>
      <c r="N85" s="9" t="s">
        <v>331</v>
      </c>
      <c r="O85" s="6">
        <v>1672.08</v>
      </c>
    </row>
    <row r="86" spans="2:15" x14ac:dyDescent="0.25">
      <c r="B86" t="s">
        <v>131</v>
      </c>
      <c r="C86" t="s">
        <v>19</v>
      </c>
      <c r="D86" t="s">
        <v>27</v>
      </c>
      <c r="E86" t="s">
        <v>282</v>
      </c>
      <c r="F86" t="s">
        <v>11</v>
      </c>
      <c r="G86" s="4">
        <v>45203</v>
      </c>
      <c r="H86" s="8">
        <v>52287</v>
      </c>
      <c r="I86">
        <v>70</v>
      </c>
      <c r="J86" t="s">
        <v>38</v>
      </c>
      <c r="K86" t="s">
        <v>200</v>
      </c>
      <c r="L86" s="11">
        <v>2.8</v>
      </c>
      <c r="M86" t="s">
        <v>210</v>
      </c>
      <c r="N86" s="9" t="s">
        <v>331</v>
      </c>
      <c r="O86" s="6">
        <v>1045.74</v>
      </c>
    </row>
    <row r="87" spans="2:15" x14ac:dyDescent="0.25">
      <c r="B87" t="s">
        <v>132</v>
      </c>
      <c r="C87" t="s">
        <v>13</v>
      </c>
      <c r="D87" t="s">
        <v>17</v>
      </c>
      <c r="E87" t="s">
        <v>269</v>
      </c>
      <c r="F87" t="s">
        <v>11</v>
      </c>
      <c r="G87" s="4">
        <v>44073</v>
      </c>
      <c r="H87" s="8">
        <v>82633</v>
      </c>
      <c r="I87">
        <v>98</v>
      </c>
      <c r="J87" t="s">
        <v>38</v>
      </c>
      <c r="K87" t="s">
        <v>200</v>
      </c>
      <c r="L87" s="11">
        <v>5.9</v>
      </c>
      <c r="M87" t="s">
        <v>213</v>
      </c>
      <c r="N87" s="9" t="s">
        <v>335</v>
      </c>
      <c r="O87" s="6">
        <v>9915.9599999999991</v>
      </c>
    </row>
    <row r="88" spans="2:15" x14ac:dyDescent="0.25">
      <c r="B88" t="s">
        <v>133</v>
      </c>
      <c r="C88" t="s">
        <v>79</v>
      </c>
      <c r="D88" t="s">
        <v>101</v>
      </c>
      <c r="E88" t="s">
        <v>283</v>
      </c>
      <c r="F88" t="s">
        <v>28</v>
      </c>
      <c r="G88" s="4">
        <v>44422</v>
      </c>
      <c r="H88" s="8">
        <v>46508</v>
      </c>
      <c r="I88">
        <v>34</v>
      </c>
      <c r="J88" t="s">
        <v>38</v>
      </c>
      <c r="K88" t="s">
        <v>204</v>
      </c>
      <c r="L88" s="11">
        <v>4.9000000000000004</v>
      </c>
      <c r="M88" t="s">
        <v>209</v>
      </c>
      <c r="N88" s="9" t="s">
        <v>332</v>
      </c>
      <c r="O88" s="6">
        <v>0</v>
      </c>
    </row>
    <row r="89" spans="2:15" x14ac:dyDescent="0.25">
      <c r="B89" t="s">
        <v>134</v>
      </c>
      <c r="C89" t="s">
        <v>9</v>
      </c>
      <c r="D89" t="s">
        <v>17</v>
      </c>
      <c r="E89" t="s">
        <v>216</v>
      </c>
      <c r="F89" t="s">
        <v>74</v>
      </c>
      <c r="G89" s="4">
        <v>43796</v>
      </c>
      <c r="H89" s="8">
        <v>86232</v>
      </c>
      <c r="I89">
        <v>93</v>
      </c>
      <c r="J89" t="s">
        <v>38</v>
      </c>
      <c r="K89" t="s">
        <v>199</v>
      </c>
      <c r="L89" s="11">
        <v>6.6</v>
      </c>
      <c r="M89" t="s">
        <v>212</v>
      </c>
      <c r="N89" s="9" t="s">
        <v>334</v>
      </c>
      <c r="O89" s="6">
        <v>6898.56</v>
      </c>
    </row>
    <row r="90" spans="2:15" x14ac:dyDescent="0.25">
      <c r="B90" t="s">
        <v>135</v>
      </c>
      <c r="C90" t="s">
        <v>43</v>
      </c>
      <c r="D90" t="s">
        <v>51</v>
      </c>
      <c r="E90" t="s">
        <v>257</v>
      </c>
      <c r="F90" t="s">
        <v>11</v>
      </c>
      <c r="G90" s="4">
        <v>42880</v>
      </c>
      <c r="H90" s="8">
        <v>77545</v>
      </c>
      <c r="I90">
        <v>48</v>
      </c>
      <c r="J90" t="s">
        <v>38</v>
      </c>
      <c r="K90" t="s">
        <v>200</v>
      </c>
      <c r="L90" s="11">
        <v>9.1</v>
      </c>
      <c r="M90" t="s">
        <v>209</v>
      </c>
      <c r="N90" s="9" t="s">
        <v>332</v>
      </c>
      <c r="O90" s="6">
        <v>0</v>
      </c>
    </row>
    <row r="91" spans="2:15" x14ac:dyDescent="0.25">
      <c r="B91" t="s">
        <v>136</v>
      </c>
      <c r="C91" t="s">
        <v>117</v>
      </c>
      <c r="D91" t="s">
        <v>17</v>
      </c>
      <c r="E91" t="s">
        <v>284</v>
      </c>
      <c r="F91" t="s">
        <v>28</v>
      </c>
      <c r="G91" s="4">
        <v>43143</v>
      </c>
      <c r="H91" s="8">
        <v>68683</v>
      </c>
      <c r="I91">
        <v>90</v>
      </c>
      <c r="J91" t="s">
        <v>38</v>
      </c>
      <c r="K91" t="s">
        <v>204</v>
      </c>
      <c r="L91" s="11">
        <v>8.4</v>
      </c>
      <c r="M91" t="s">
        <v>212</v>
      </c>
      <c r="N91" s="9" t="s">
        <v>334</v>
      </c>
      <c r="O91" s="6">
        <v>5494.64</v>
      </c>
    </row>
    <row r="92" spans="2:15" x14ac:dyDescent="0.25">
      <c r="B92" t="s">
        <v>137</v>
      </c>
      <c r="C92" t="s">
        <v>23</v>
      </c>
      <c r="D92" t="s">
        <v>48</v>
      </c>
      <c r="E92" t="s">
        <v>267</v>
      </c>
      <c r="F92" t="s">
        <v>21</v>
      </c>
      <c r="G92" s="4">
        <v>43639</v>
      </c>
      <c r="H92" s="8">
        <v>83932</v>
      </c>
      <c r="I92">
        <v>57</v>
      </c>
      <c r="J92" t="s">
        <v>25</v>
      </c>
      <c r="K92" t="s">
        <v>201</v>
      </c>
      <c r="L92" s="11">
        <v>7</v>
      </c>
      <c r="M92" t="s">
        <v>210</v>
      </c>
      <c r="N92" s="9" t="s">
        <v>331</v>
      </c>
      <c r="O92" s="6">
        <v>1678.64</v>
      </c>
    </row>
    <row r="93" spans="2:15" x14ac:dyDescent="0.25">
      <c r="B93" t="s">
        <v>138</v>
      </c>
      <c r="C93" t="s">
        <v>32</v>
      </c>
      <c r="D93" t="s">
        <v>101</v>
      </c>
      <c r="E93" t="s">
        <v>285</v>
      </c>
      <c r="F93" t="s">
        <v>74</v>
      </c>
      <c r="G93" s="4">
        <v>42304</v>
      </c>
      <c r="H93" s="8">
        <v>56073</v>
      </c>
      <c r="I93">
        <v>79</v>
      </c>
      <c r="J93" t="s">
        <v>38</v>
      </c>
      <c r="K93" t="s">
        <v>199</v>
      </c>
      <c r="L93" s="11">
        <v>10.7</v>
      </c>
      <c r="M93" t="s">
        <v>211</v>
      </c>
      <c r="N93" s="9" t="s">
        <v>333</v>
      </c>
      <c r="O93" s="6">
        <v>2803.65</v>
      </c>
    </row>
    <row r="94" spans="2:15" x14ac:dyDescent="0.25">
      <c r="B94" t="s">
        <v>139</v>
      </c>
      <c r="C94" t="s">
        <v>79</v>
      </c>
      <c r="D94" t="s">
        <v>27</v>
      </c>
      <c r="E94" t="s">
        <v>253</v>
      </c>
      <c r="F94" t="s">
        <v>11</v>
      </c>
      <c r="G94" s="4">
        <v>43270</v>
      </c>
      <c r="H94" s="8">
        <v>88056</v>
      </c>
      <c r="I94">
        <v>66</v>
      </c>
      <c r="J94" t="s">
        <v>38</v>
      </c>
      <c r="K94" t="s">
        <v>200</v>
      </c>
      <c r="L94" s="11">
        <v>8.1</v>
      </c>
      <c r="M94" t="s">
        <v>210</v>
      </c>
      <c r="N94" s="9" t="s">
        <v>331</v>
      </c>
      <c r="O94" s="6">
        <v>1761.1200000000001</v>
      </c>
    </row>
    <row r="95" spans="2:15" x14ac:dyDescent="0.25">
      <c r="B95" t="s">
        <v>140</v>
      </c>
      <c r="C95" t="s">
        <v>23</v>
      </c>
      <c r="D95" t="s">
        <v>40</v>
      </c>
      <c r="E95" t="s">
        <v>286</v>
      </c>
      <c r="F95" t="s">
        <v>28</v>
      </c>
      <c r="G95" s="4">
        <v>43435</v>
      </c>
      <c r="H95" s="8">
        <v>67414</v>
      </c>
      <c r="I95">
        <v>84</v>
      </c>
      <c r="J95" t="s">
        <v>25</v>
      </c>
      <c r="K95" t="s">
        <v>204</v>
      </c>
      <c r="L95" s="11">
        <v>7.6</v>
      </c>
      <c r="M95" t="s">
        <v>211</v>
      </c>
      <c r="N95" s="9" t="s">
        <v>333</v>
      </c>
      <c r="O95" s="6">
        <v>3370.7000000000003</v>
      </c>
    </row>
    <row r="96" spans="2:15" x14ac:dyDescent="0.25">
      <c r="B96" t="s">
        <v>141</v>
      </c>
      <c r="C96" t="s">
        <v>117</v>
      </c>
      <c r="D96" t="s">
        <v>17</v>
      </c>
      <c r="E96" t="s">
        <v>284</v>
      </c>
      <c r="F96" t="s">
        <v>37</v>
      </c>
      <c r="G96" s="4">
        <v>42095</v>
      </c>
      <c r="H96" s="8">
        <v>115288</v>
      </c>
      <c r="I96">
        <v>61</v>
      </c>
      <c r="J96" t="s">
        <v>38</v>
      </c>
      <c r="K96" t="s">
        <v>203</v>
      </c>
      <c r="L96" s="11">
        <v>11.3</v>
      </c>
      <c r="M96" t="s">
        <v>210</v>
      </c>
      <c r="N96" s="9" t="s">
        <v>331</v>
      </c>
      <c r="O96" s="6">
        <v>2305.7600000000002</v>
      </c>
    </row>
    <row r="97" spans="2:15" x14ac:dyDescent="0.25">
      <c r="B97" t="s">
        <v>142</v>
      </c>
      <c r="C97" t="s">
        <v>24</v>
      </c>
      <c r="D97" t="s">
        <v>24</v>
      </c>
      <c r="E97" t="s">
        <v>323</v>
      </c>
      <c r="F97" t="s">
        <v>37</v>
      </c>
      <c r="G97" s="4">
        <v>43232</v>
      </c>
      <c r="H97" s="8">
        <v>80140</v>
      </c>
      <c r="I97">
        <v>58</v>
      </c>
      <c r="J97" t="s">
        <v>38</v>
      </c>
      <c r="K97" t="s">
        <v>203</v>
      </c>
      <c r="L97" s="11">
        <v>8.1999999999999993</v>
      </c>
      <c r="M97" t="s">
        <v>210</v>
      </c>
      <c r="N97" s="9" t="s">
        <v>331</v>
      </c>
      <c r="O97" s="6">
        <v>1602.8</v>
      </c>
    </row>
    <row r="98" spans="2:15" x14ac:dyDescent="0.25">
      <c r="B98" t="s">
        <v>143</v>
      </c>
      <c r="C98" t="s">
        <v>19</v>
      </c>
      <c r="D98" t="s">
        <v>27</v>
      </c>
      <c r="E98" t="s">
        <v>282</v>
      </c>
      <c r="F98" t="s">
        <v>11</v>
      </c>
      <c r="G98" s="4">
        <v>44482</v>
      </c>
      <c r="H98" s="8">
        <v>73087</v>
      </c>
      <c r="I98">
        <v>69</v>
      </c>
      <c r="J98" t="s">
        <v>38</v>
      </c>
      <c r="K98" t="s">
        <v>200</v>
      </c>
      <c r="L98" s="11">
        <v>4.7</v>
      </c>
      <c r="M98" t="s">
        <v>210</v>
      </c>
      <c r="N98" s="9" t="s">
        <v>331</v>
      </c>
      <c r="O98" s="6">
        <v>1461.74</v>
      </c>
    </row>
    <row r="99" spans="2:15" x14ac:dyDescent="0.25">
      <c r="B99" t="s">
        <v>144</v>
      </c>
      <c r="C99" t="s">
        <v>43</v>
      </c>
      <c r="D99" t="s">
        <v>27</v>
      </c>
      <c r="E99" t="s">
        <v>287</v>
      </c>
      <c r="F99" t="s">
        <v>37</v>
      </c>
      <c r="G99" s="4">
        <v>44021</v>
      </c>
      <c r="H99" s="8">
        <v>95292</v>
      </c>
      <c r="I99">
        <v>34</v>
      </c>
      <c r="J99" t="s">
        <v>38</v>
      </c>
      <c r="K99" t="s">
        <v>203</v>
      </c>
      <c r="L99" s="11">
        <v>6</v>
      </c>
      <c r="M99" t="s">
        <v>209</v>
      </c>
      <c r="N99" s="9" t="s">
        <v>332</v>
      </c>
      <c r="O99" s="6">
        <v>0</v>
      </c>
    </row>
    <row r="100" spans="2:15" x14ac:dyDescent="0.25">
      <c r="B100" t="s">
        <v>145</v>
      </c>
      <c r="C100" t="s">
        <v>19</v>
      </c>
      <c r="D100" t="s">
        <v>48</v>
      </c>
      <c r="E100" t="s">
        <v>288</v>
      </c>
      <c r="F100" t="s">
        <v>11</v>
      </c>
      <c r="G100" s="4">
        <v>43532</v>
      </c>
      <c r="H100" s="8">
        <v>83604</v>
      </c>
      <c r="I100">
        <v>33</v>
      </c>
      <c r="J100" t="s">
        <v>38</v>
      </c>
      <c r="K100" t="s">
        <v>200</v>
      </c>
      <c r="L100" s="11">
        <v>7.3</v>
      </c>
      <c r="M100" t="s">
        <v>209</v>
      </c>
      <c r="N100" s="9" t="s">
        <v>332</v>
      </c>
      <c r="O100" s="6">
        <v>0</v>
      </c>
    </row>
    <row r="101" spans="2:15" x14ac:dyDescent="0.25">
      <c r="B101" t="s">
        <v>146</v>
      </c>
      <c r="C101" t="s">
        <v>43</v>
      </c>
      <c r="D101" t="s">
        <v>56</v>
      </c>
      <c r="E101" t="s">
        <v>289</v>
      </c>
      <c r="F101" t="s">
        <v>15</v>
      </c>
      <c r="G101" s="4">
        <v>42311</v>
      </c>
      <c r="H101" s="8">
        <v>101750</v>
      </c>
      <c r="I101">
        <v>84</v>
      </c>
      <c r="J101" t="s">
        <v>25</v>
      </c>
      <c r="K101" t="s">
        <v>202</v>
      </c>
      <c r="L101" s="11">
        <v>10.7</v>
      </c>
      <c r="M101" t="s">
        <v>211</v>
      </c>
      <c r="N101" s="9" t="s">
        <v>333</v>
      </c>
      <c r="O101" s="6">
        <v>5087.5</v>
      </c>
    </row>
    <row r="102" spans="2:15" x14ac:dyDescent="0.25">
      <c r="B102" t="s">
        <v>147</v>
      </c>
      <c r="C102" t="s">
        <v>79</v>
      </c>
      <c r="D102" t="s">
        <v>17</v>
      </c>
      <c r="E102" t="s">
        <v>290</v>
      </c>
      <c r="F102" t="s">
        <v>15</v>
      </c>
      <c r="G102" s="4">
        <v>42785</v>
      </c>
      <c r="H102" s="8">
        <v>82992</v>
      </c>
      <c r="I102">
        <v>79</v>
      </c>
      <c r="J102" t="s">
        <v>38</v>
      </c>
      <c r="K102" t="s">
        <v>202</v>
      </c>
      <c r="L102" s="11">
        <v>9.4</v>
      </c>
      <c r="M102" t="s">
        <v>211</v>
      </c>
      <c r="N102" s="9" t="s">
        <v>333</v>
      </c>
      <c r="O102" s="6">
        <v>4149.6000000000004</v>
      </c>
    </row>
    <row r="103" spans="2:15" x14ac:dyDescent="0.25">
      <c r="B103" t="s">
        <v>148</v>
      </c>
      <c r="C103" t="s">
        <v>117</v>
      </c>
      <c r="D103" t="s">
        <v>51</v>
      </c>
      <c r="E103" t="s">
        <v>291</v>
      </c>
      <c r="F103" t="s">
        <v>11</v>
      </c>
      <c r="G103" s="4">
        <v>45174</v>
      </c>
      <c r="H103" s="8">
        <v>49942</v>
      </c>
      <c r="I103">
        <v>51</v>
      </c>
      <c r="J103" t="s">
        <v>38</v>
      </c>
      <c r="K103" t="s">
        <v>200</v>
      </c>
      <c r="L103" s="11">
        <v>2.8</v>
      </c>
      <c r="M103" t="s">
        <v>210</v>
      </c>
      <c r="N103" s="9" t="s">
        <v>331</v>
      </c>
      <c r="O103" s="6">
        <v>998.84</v>
      </c>
    </row>
    <row r="104" spans="2:15" x14ac:dyDescent="0.25">
      <c r="B104" t="s">
        <v>149</v>
      </c>
      <c r="C104" t="s">
        <v>19</v>
      </c>
      <c r="D104" t="s">
        <v>24</v>
      </c>
      <c r="E104" t="s">
        <v>292</v>
      </c>
      <c r="F104" t="s">
        <v>28</v>
      </c>
      <c r="G104" s="4">
        <v>43122</v>
      </c>
      <c r="H104" s="8">
        <v>89060</v>
      </c>
      <c r="I104">
        <v>58</v>
      </c>
      <c r="J104" t="s">
        <v>38</v>
      </c>
      <c r="K104" t="s">
        <v>204</v>
      </c>
      <c r="L104" s="11">
        <v>8.5</v>
      </c>
      <c r="M104" t="s">
        <v>210</v>
      </c>
      <c r="N104" s="9" t="s">
        <v>331</v>
      </c>
      <c r="O104" s="6">
        <v>1781.2</v>
      </c>
    </row>
    <row r="105" spans="2:15" x14ac:dyDescent="0.25">
      <c r="B105" t="s">
        <v>150</v>
      </c>
      <c r="C105" t="s">
        <v>53</v>
      </c>
      <c r="D105" t="s">
        <v>17</v>
      </c>
      <c r="E105" t="s">
        <v>273</v>
      </c>
      <c r="F105" t="s">
        <v>11</v>
      </c>
      <c r="G105" s="4">
        <v>43879</v>
      </c>
      <c r="H105" s="8">
        <v>53786</v>
      </c>
      <c r="I105">
        <v>98</v>
      </c>
      <c r="J105" t="s">
        <v>38</v>
      </c>
      <c r="K105" t="s">
        <v>200</v>
      </c>
      <c r="L105" s="11">
        <v>6.4</v>
      </c>
      <c r="M105" t="s">
        <v>213</v>
      </c>
      <c r="N105" s="9" t="s">
        <v>335</v>
      </c>
      <c r="O105" s="6">
        <v>6454.32</v>
      </c>
    </row>
    <row r="106" spans="2:15" x14ac:dyDescent="0.25">
      <c r="B106" t="s">
        <v>151</v>
      </c>
      <c r="C106" t="s">
        <v>9</v>
      </c>
      <c r="D106" t="s">
        <v>27</v>
      </c>
      <c r="E106" t="s">
        <v>219</v>
      </c>
      <c r="F106" t="s">
        <v>28</v>
      </c>
      <c r="G106" s="4">
        <v>42512</v>
      </c>
      <c r="H106" s="8">
        <v>81167</v>
      </c>
      <c r="I106">
        <v>68</v>
      </c>
      <c r="J106" t="s">
        <v>38</v>
      </c>
      <c r="K106" t="s">
        <v>204</v>
      </c>
      <c r="L106" s="11">
        <v>10.1</v>
      </c>
      <c r="M106" t="s">
        <v>210</v>
      </c>
      <c r="N106" s="9" t="s">
        <v>331</v>
      </c>
      <c r="O106" s="6">
        <v>1623.3400000000001</v>
      </c>
    </row>
    <row r="107" spans="2:15" x14ac:dyDescent="0.25">
      <c r="B107" t="s">
        <v>152</v>
      </c>
      <c r="C107" t="s">
        <v>117</v>
      </c>
      <c r="D107" t="s">
        <v>44</v>
      </c>
      <c r="E107" t="s">
        <v>293</v>
      </c>
      <c r="F107" t="s">
        <v>15</v>
      </c>
      <c r="G107" s="4">
        <v>44233</v>
      </c>
      <c r="H107" s="8">
        <v>66688</v>
      </c>
      <c r="I107">
        <v>40</v>
      </c>
      <c r="J107" t="s">
        <v>25</v>
      </c>
      <c r="K107" t="s">
        <v>202</v>
      </c>
      <c r="L107" s="11">
        <v>5.4</v>
      </c>
      <c r="M107" t="s">
        <v>209</v>
      </c>
      <c r="N107" s="9" t="s">
        <v>332</v>
      </c>
      <c r="O107" s="6">
        <v>0</v>
      </c>
    </row>
    <row r="108" spans="2:15" x14ac:dyDescent="0.25">
      <c r="B108" t="s">
        <v>153</v>
      </c>
      <c r="C108" t="s">
        <v>53</v>
      </c>
      <c r="D108" t="s">
        <v>48</v>
      </c>
      <c r="E108" t="s">
        <v>294</v>
      </c>
      <c r="F108" t="s">
        <v>11</v>
      </c>
      <c r="G108" s="4">
        <v>44394</v>
      </c>
      <c r="H108" s="8">
        <v>91672</v>
      </c>
      <c r="I108">
        <v>88</v>
      </c>
      <c r="J108" t="s">
        <v>38</v>
      </c>
      <c r="K108" t="s">
        <v>200</v>
      </c>
      <c r="L108" s="11">
        <v>5</v>
      </c>
      <c r="M108" t="s">
        <v>212</v>
      </c>
      <c r="N108" s="9" t="s">
        <v>334</v>
      </c>
      <c r="O108" s="6">
        <v>7333.76</v>
      </c>
    </row>
    <row r="109" spans="2:15" x14ac:dyDescent="0.25">
      <c r="B109" t="s">
        <v>154</v>
      </c>
      <c r="C109" t="s">
        <v>32</v>
      </c>
      <c r="D109" t="s">
        <v>17</v>
      </c>
      <c r="E109" t="s">
        <v>295</v>
      </c>
      <c r="F109" t="s">
        <v>74</v>
      </c>
      <c r="G109" s="4">
        <v>42687</v>
      </c>
      <c r="H109" s="8">
        <v>77737</v>
      </c>
      <c r="I109">
        <v>77</v>
      </c>
      <c r="J109" t="s">
        <v>38</v>
      </c>
      <c r="K109" t="s">
        <v>199</v>
      </c>
      <c r="L109" s="11">
        <v>9.6</v>
      </c>
      <c r="M109" t="s">
        <v>211</v>
      </c>
      <c r="N109" s="9" t="s">
        <v>333</v>
      </c>
      <c r="O109" s="6">
        <v>3886.8500000000004</v>
      </c>
    </row>
    <row r="110" spans="2:15" x14ac:dyDescent="0.25">
      <c r="B110" t="s">
        <v>155</v>
      </c>
      <c r="C110" t="s">
        <v>72</v>
      </c>
      <c r="D110" t="s">
        <v>40</v>
      </c>
      <c r="E110" t="s">
        <v>246</v>
      </c>
      <c r="F110" t="s">
        <v>37</v>
      </c>
      <c r="G110" s="4">
        <v>43513</v>
      </c>
      <c r="H110" s="8">
        <v>95686</v>
      </c>
      <c r="I110">
        <v>91</v>
      </c>
      <c r="J110" t="s">
        <v>38</v>
      </c>
      <c r="K110" t="s">
        <v>203</v>
      </c>
      <c r="L110" s="11">
        <v>7.4</v>
      </c>
      <c r="M110" t="s">
        <v>212</v>
      </c>
      <c r="N110" s="9" t="s">
        <v>334</v>
      </c>
      <c r="O110" s="6">
        <v>7654.88</v>
      </c>
    </row>
    <row r="111" spans="2:15" x14ac:dyDescent="0.25">
      <c r="B111" t="s">
        <v>156</v>
      </c>
      <c r="C111" t="s">
        <v>32</v>
      </c>
      <c r="D111" t="s">
        <v>24</v>
      </c>
      <c r="E111" t="s">
        <v>221</v>
      </c>
      <c r="F111" t="s">
        <v>37</v>
      </c>
      <c r="G111" s="4">
        <v>42713</v>
      </c>
      <c r="H111" s="8">
        <v>114681</v>
      </c>
      <c r="I111">
        <v>36</v>
      </c>
      <c r="J111" t="s">
        <v>38</v>
      </c>
      <c r="K111" t="s">
        <v>203</v>
      </c>
      <c r="L111" s="11">
        <v>9.6</v>
      </c>
      <c r="M111" t="s">
        <v>209</v>
      </c>
      <c r="N111" s="9" t="s">
        <v>332</v>
      </c>
      <c r="O111" s="6">
        <v>0</v>
      </c>
    </row>
    <row r="112" spans="2:15" x14ac:dyDescent="0.25">
      <c r="B112" t="s">
        <v>157</v>
      </c>
      <c r="C112" t="s">
        <v>23</v>
      </c>
      <c r="D112" t="s">
        <v>48</v>
      </c>
      <c r="E112" t="s">
        <v>267</v>
      </c>
      <c r="F112" t="s">
        <v>28</v>
      </c>
      <c r="G112" s="4">
        <v>44421</v>
      </c>
      <c r="H112" s="8">
        <v>109121</v>
      </c>
      <c r="I112">
        <v>72</v>
      </c>
      <c r="J112" t="s">
        <v>38</v>
      </c>
      <c r="K112" t="s">
        <v>204</v>
      </c>
      <c r="L112" s="11">
        <v>4.9000000000000004</v>
      </c>
      <c r="M112" t="s">
        <v>211</v>
      </c>
      <c r="N112" s="9" t="s">
        <v>333</v>
      </c>
      <c r="O112" s="6">
        <v>5456.05</v>
      </c>
    </row>
    <row r="113" spans="2:15" x14ac:dyDescent="0.25">
      <c r="B113" t="s">
        <v>158</v>
      </c>
      <c r="C113" t="s">
        <v>58</v>
      </c>
      <c r="D113" t="s">
        <v>10</v>
      </c>
      <c r="E113" t="s">
        <v>296</v>
      </c>
      <c r="F113" t="s">
        <v>15</v>
      </c>
      <c r="G113" s="4">
        <v>43996</v>
      </c>
      <c r="H113" s="8">
        <v>112791</v>
      </c>
      <c r="I113">
        <v>87</v>
      </c>
      <c r="J113" t="s">
        <v>38</v>
      </c>
      <c r="K113" t="s">
        <v>202</v>
      </c>
      <c r="L113" s="11">
        <v>6.1</v>
      </c>
      <c r="M113" t="s">
        <v>212</v>
      </c>
      <c r="N113" s="9" t="s">
        <v>334</v>
      </c>
      <c r="O113" s="6">
        <v>9023.2800000000007</v>
      </c>
    </row>
    <row r="114" spans="2:15" x14ac:dyDescent="0.25">
      <c r="B114" t="s">
        <v>159</v>
      </c>
      <c r="C114" t="s">
        <v>47</v>
      </c>
      <c r="D114" t="s">
        <v>20</v>
      </c>
      <c r="E114" t="s">
        <v>297</v>
      </c>
      <c r="F114" t="s">
        <v>11</v>
      </c>
      <c r="G114" s="4">
        <v>44688</v>
      </c>
      <c r="H114" s="8">
        <v>118008</v>
      </c>
      <c r="I114">
        <v>71</v>
      </c>
      <c r="J114" t="s">
        <v>38</v>
      </c>
      <c r="K114" t="s">
        <v>200</v>
      </c>
      <c r="L114" s="11">
        <v>4.2</v>
      </c>
      <c r="M114" t="s">
        <v>211</v>
      </c>
      <c r="N114" s="9" t="s">
        <v>333</v>
      </c>
      <c r="O114" s="6">
        <v>5900.4000000000005</v>
      </c>
    </row>
    <row r="115" spans="2:15" x14ac:dyDescent="0.25">
      <c r="B115" t="s">
        <v>160</v>
      </c>
      <c r="C115" t="s">
        <v>23</v>
      </c>
      <c r="D115" t="s">
        <v>40</v>
      </c>
      <c r="E115" t="s">
        <v>286</v>
      </c>
      <c r="F115" t="s">
        <v>11</v>
      </c>
      <c r="G115" s="4">
        <v>42561</v>
      </c>
      <c r="H115" s="8">
        <v>74370</v>
      </c>
      <c r="I115">
        <v>82</v>
      </c>
      <c r="J115" t="s">
        <v>38</v>
      </c>
      <c r="K115" t="s">
        <v>200</v>
      </c>
      <c r="L115" s="11">
        <v>10</v>
      </c>
      <c r="M115" t="s">
        <v>211</v>
      </c>
      <c r="N115" s="9" t="s">
        <v>333</v>
      </c>
      <c r="O115" s="6">
        <v>3718.5</v>
      </c>
    </row>
    <row r="116" spans="2:15" x14ac:dyDescent="0.25">
      <c r="B116" t="s">
        <v>161</v>
      </c>
      <c r="C116" t="s">
        <v>84</v>
      </c>
      <c r="D116" t="s">
        <v>34</v>
      </c>
      <c r="E116" t="s">
        <v>298</v>
      </c>
      <c r="F116" t="s">
        <v>11</v>
      </c>
      <c r="G116" s="4">
        <v>44674</v>
      </c>
      <c r="H116" s="8">
        <v>77819</v>
      </c>
      <c r="I116">
        <v>79</v>
      </c>
      <c r="J116" t="s">
        <v>38</v>
      </c>
      <c r="K116" t="s">
        <v>200</v>
      </c>
      <c r="L116" s="11">
        <v>4.2</v>
      </c>
      <c r="M116" t="s">
        <v>211</v>
      </c>
      <c r="N116" s="9" t="s">
        <v>333</v>
      </c>
      <c r="O116" s="6">
        <v>3890.9500000000003</v>
      </c>
    </row>
    <row r="117" spans="2:15" x14ac:dyDescent="0.25">
      <c r="B117" t="s">
        <v>162</v>
      </c>
      <c r="C117" t="s">
        <v>43</v>
      </c>
      <c r="D117" t="s">
        <v>40</v>
      </c>
      <c r="E117" t="s">
        <v>226</v>
      </c>
      <c r="F117" t="s">
        <v>15</v>
      </c>
      <c r="G117" s="4">
        <v>42865</v>
      </c>
      <c r="H117" s="8">
        <v>48748</v>
      </c>
      <c r="I117">
        <v>83</v>
      </c>
      <c r="J117" t="s">
        <v>38</v>
      </c>
      <c r="K117" t="s">
        <v>202</v>
      </c>
      <c r="L117" s="11">
        <v>9.1999999999999993</v>
      </c>
      <c r="M117" t="s">
        <v>211</v>
      </c>
      <c r="N117" s="9" t="s">
        <v>333</v>
      </c>
      <c r="O117" s="6">
        <v>2437.4</v>
      </c>
    </row>
    <row r="118" spans="2:15" x14ac:dyDescent="0.25">
      <c r="B118" t="s">
        <v>163</v>
      </c>
      <c r="C118" t="s">
        <v>53</v>
      </c>
      <c r="D118" t="s">
        <v>34</v>
      </c>
      <c r="E118" t="s">
        <v>299</v>
      </c>
      <c r="F118" t="s">
        <v>28</v>
      </c>
      <c r="G118" s="4">
        <v>43971</v>
      </c>
      <c r="H118" s="8">
        <v>101997</v>
      </c>
      <c r="I118">
        <v>38</v>
      </c>
      <c r="J118" t="s">
        <v>86</v>
      </c>
      <c r="K118" t="s">
        <v>204</v>
      </c>
      <c r="L118" s="11">
        <v>6.1</v>
      </c>
      <c r="M118" t="s">
        <v>209</v>
      </c>
      <c r="N118" s="9" t="s">
        <v>332</v>
      </c>
      <c r="O118" s="6">
        <v>0</v>
      </c>
    </row>
    <row r="119" spans="2:15" x14ac:dyDescent="0.25">
      <c r="B119" t="s">
        <v>164</v>
      </c>
      <c r="C119" t="s">
        <v>72</v>
      </c>
      <c r="D119" t="s">
        <v>34</v>
      </c>
      <c r="E119" t="s">
        <v>300</v>
      </c>
      <c r="F119" t="s">
        <v>74</v>
      </c>
      <c r="G119" s="4">
        <v>45036</v>
      </c>
      <c r="H119" s="8">
        <v>115260</v>
      </c>
      <c r="I119">
        <v>77</v>
      </c>
      <c r="J119" t="s">
        <v>38</v>
      </c>
      <c r="K119" t="s">
        <v>199</v>
      </c>
      <c r="L119" s="11">
        <v>3.2</v>
      </c>
      <c r="M119" t="s">
        <v>211</v>
      </c>
      <c r="N119" s="9" t="s">
        <v>333</v>
      </c>
      <c r="O119" s="6">
        <v>5763</v>
      </c>
    </row>
    <row r="120" spans="2:15" x14ac:dyDescent="0.25">
      <c r="B120" t="s">
        <v>165</v>
      </c>
      <c r="C120" t="s">
        <v>72</v>
      </c>
      <c r="D120" t="s">
        <v>30</v>
      </c>
      <c r="E120" t="s">
        <v>301</v>
      </c>
      <c r="F120" t="s">
        <v>37</v>
      </c>
      <c r="G120" s="4">
        <v>44500</v>
      </c>
      <c r="H120" s="8">
        <v>83604</v>
      </c>
      <c r="I120">
        <v>49</v>
      </c>
      <c r="J120" t="s">
        <v>38</v>
      </c>
      <c r="K120" t="s">
        <v>203</v>
      </c>
      <c r="L120" s="11">
        <v>4.7</v>
      </c>
      <c r="M120" t="s">
        <v>209</v>
      </c>
      <c r="N120" s="9" t="s">
        <v>332</v>
      </c>
      <c r="O120" s="6">
        <v>0</v>
      </c>
    </row>
    <row r="121" spans="2:15" x14ac:dyDescent="0.25">
      <c r="B121" t="s">
        <v>166</v>
      </c>
      <c r="C121" t="s">
        <v>79</v>
      </c>
      <c r="D121" t="s">
        <v>10</v>
      </c>
      <c r="E121" t="s">
        <v>244</v>
      </c>
      <c r="F121" t="s">
        <v>11</v>
      </c>
      <c r="G121" s="4">
        <v>44493</v>
      </c>
      <c r="H121" s="8">
        <v>83604</v>
      </c>
      <c r="I121">
        <v>69</v>
      </c>
      <c r="J121" t="s">
        <v>25</v>
      </c>
      <c r="K121" t="s">
        <v>200</v>
      </c>
      <c r="L121" s="11">
        <v>4.7</v>
      </c>
      <c r="M121" t="s">
        <v>210</v>
      </c>
      <c r="N121" s="9" t="s">
        <v>331</v>
      </c>
      <c r="O121" s="6">
        <v>1672.08</v>
      </c>
    </row>
    <row r="122" spans="2:15" x14ac:dyDescent="0.25">
      <c r="B122" t="s">
        <v>167</v>
      </c>
      <c r="C122" t="s">
        <v>47</v>
      </c>
      <c r="D122" t="s">
        <v>44</v>
      </c>
      <c r="E122" t="s">
        <v>302</v>
      </c>
      <c r="F122" t="s">
        <v>37</v>
      </c>
      <c r="G122" s="4">
        <v>42986</v>
      </c>
      <c r="H122" s="8">
        <v>83604</v>
      </c>
      <c r="I122">
        <v>76</v>
      </c>
      <c r="J122" t="s">
        <v>38</v>
      </c>
      <c r="K122" t="s">
        <v>203</v>
      </c>
      <c r="L122" s="11">
        <v>8.8000000000000007</v>
      </c>
      <c r="M122" t="s">
        <v>211</v>
      </c>
      <c r="N122" s="9" t="s">
        <v>333</v>
      </c>
      <c r="O122" s="6">
        <v>4180.2</v>
      </c>
    </row>
    <row r="123" spans="2:15" x14ac:dyDescent="0.25">
      <c r="B123" t="s">
        <v>168</v>
      </c>
      <c r="C123" t="s">
        <v>79</v>
      </c>
      <c r="D123" t="s">
        <v>34</v>
      </c>
      <c r="E123" t="s">
        <v>303</v>
      </c>
      <c r="F123" t="s">
        <v>28</v>
      </c>
      <c r="G123" s="4">
        <v>45017</v>
      </c>
      <c r="H123" s="8">
        <v>60623</v>
      </c>
      <c r="I123">
        <v>78</v>
      </c>
      <c r="J123" t="s">
        <v>38</v>
      </c>
      <c r="K123" t="s">
        <v>204</v>
      </c>
      <c r="L123" s="11">
        <v>3.3</v>
      </c>
      <c r="M123" t="s">
        <v>211</v>
      </c>
      <c r="N123" s="9" t="s">
        <v>333</v>
      </c>
      <c r="O123" s="6">
        <v>3031.15</v>
      </c>
    </row>
    <row r="124" spans="2:15" x14ac:dyDescent="0.25">
      <c r="B124" t="s">
        <v>169</v>
      </c>
      <c r="C124" t="s">
        <v>53</v>
      </c>
      <c r="D124" t="s">
        <v>27</v>
      </c>
      <c r="E124" t="s">
        <v>256</v>
      </c>
      <c r="F124" t="s">
        <v>74</v>
      </c>
      <c r="G124" s="4">
        <v>44112</v>
      </c>
      <c r="H124" s="8">
        <v>68092</v>
      </c>
      <c r="I124">
        <v>93</v>
      </c>
      <c r="J124" t="s">
        <v>38</v>
      </c>
      <c r="K124" t="s">
        <v>199</v>
      </c>
      <c r="L124" s="11">
        <v>5.7</v>
      </c>
      <c r="M124" t="s">
        <v>212</v>
      </c>
      <c r="N124" s="9" t="s">
        <v>334</v>
      </c>
      <c r="O124" s="6">
        <v>5447.36</v>
      </c>
    </row>
    <row r="125" spans="2:15" x14ac:dyDescent="0.25">
      <c r="B125" t="s">
        <v>170</v>
      </c>
      <c r="C125" t="s">
        <v>36</v>
      </c>
      <c r="D125" t="s">
        <v>30</v>
      </c>
      <c r="E125" t="s">
        <v>237</v>
      </c>
      <c r="F125" t="s">
        <v>15</v>
      </c>
      <c r="G125" s="4">
        <v>44596</v>
      </c>
      <c r="H125" s="8">
        <v>88155</v>
      </c>
      <c r="I125">
        <v>68</v>
      </c>
      <c r="J125" t="s">
        <v>38</v>
      </c>
      <c r="K125" t="s">
        <v>202</v>
      </c>
      <c r="L125" s="11">
        <v>4.4000000000000004</v>
      </c>
      <c r="M125" t="s">
        <v>210</v>
      </c>
      <c r="N125" s="9" t="s">
        <v>331</v>
      </c>
      <c r="O125" s="6">
        <v>1763.1000000000001</v>
      </c>
    </row>
    <row r="126" spans="2:15" x14ac:dyDescent="0.25">
      <c r="B126" t="s">
        <v>171</v>
      </c>
      <c r="C126" t="s">
        <v>117</v>
      </c>
      <c r="D126" t="s">
        <v>48</v>
      </c>
      <c r="E126" t="s">
        <v>304</v>
      </c>
      <c r="F126" t="s">
        <v>15</v>
      </c>
      <c r="G126" s="4">
        <v>43183</v>
      </c>
      <c r="H126" s="8">
        <v>107903</v>
      </c>
      <c r="I126">
        <v>42</v>
      </c>
      <c r="J126" t="s">
        <v>38</v>
      </c>
      <c r="K126" t="s">
        <v>202</v>
      </c>
      <c r="L126" s="11">
        <v>8.3000000000000007</v>
      </c>
      <c r="M126" t="s">
        <v>209</v>
      </c>
      <c r="N126" s="9" t="s">
        <v>332</v>
      </c>
      <c r="O126" s="6">
        <v>0</v>
      </c>
    </row>
    <row r="127" spans="2:15" x14ac:dyDescent="0.25">
      <c r="B127" t="s">
        <v>172</v>
      </c>
      <c r="C127" t="s">
        <v>117</v>
      </c>
      <c r="D127" t="s">
        <v>44</v>
      </c>
      <c r="E127" t="s">
        <v>293</v>
      </c>
      <c r="F127" t="s">
        <v>11</v>
      </c>
      <c r="G127" s="4">
        <v>43305</v>
      </c>
      <c r="H127" s="8">
        <v>62818</v>
      </c>
      <c r="I127">
        <v>34</v>
      </c>
      <c r="J127" t="s">
        <v>38</v>
      </c>
      <c r="K127" t="s">
        <v>200</v>
      </c>
      <c r="L127" s="11">
        <v>8</v>
      </c>
      <c r="M127" t="s">
        <v>209</v>
      </c>
      <c r="N127" s="9" t="s">
        <v>332</v>
      </c>
      <c r="O127" s="6">
        <v>0</v>
      </c>
    </row>
    <row r="128" spans="2:15" x14ac:dyDescent="0.25">
      <c r="B128" t="s">
        <v>173</v>
      </c>
      <c r="C128" t="s">
        <v>84</v>
      </c>
      <c r="D128" t="s">
        <v>44</v>
      </c>
      <c r="E128" t="s">
        <v>281</v>
      </c>
      <c r="F128" t="s">
        <v>74</v>
      </c>
      <c r="G128" s="4">
        <v>43301</v>
      </c>
      <c r="H128" s="8">
        <v>85151</v>
      </c>
      <c r="I128">
        <v>35</v>
      </c>
      <c r="J128" t="s">
        <v>38</v>
      </c>
      <c r="K128" t="s">
        <v>199</v>
      </c>
      <c r="L128" s="11">
        <v>8</v>
      </c>
      <c r="M128" t="s">
        <v>209</v>
      </c>
      <c r="N128" s="9" t="s">
        <v>332</v>
      </c>
      <c r="O128" s="6">
        <v>0</v>
      </c>
    </row>
    <row r="129" spans="2:15" x14ac:dyDescent="0.25">
      <c r="B129" t="s">
        <v>174</v>
      </c>
      <c r="C129" t="s">
        <v>43</v>
      </c>
      <c r="D129" t="s">
        <v>51</v>
      </c>
      <c r="E129" t="s">
        <v>257</v>
      </c>
      <c r="F129" t="s">
        <v>21</v>
      </c>
      <c r="G129" s="4">
        <v>42463</v>
      </c>
      <c r="H129" s="8">
        <v>46390</v>
      </c>
      <c r="I129">
        <v>95</v>
      </c>
      <c r="J129" t="s">
        <v>38</v>
      </c>
      <c r="K129" t="s">
        <v>201</v>
      </c>
      <c r="L129" s="11">
        <v>10.3</v>
      </c>
      <c r="M129" t="s">
        <v>212</v>
      </c>
      <c r="N129" s="9" t="s">
        <v>334</v>
      </c>
      <c r="O129" s="6">
        <v>3711.2000000000003</v>
      </c>
    </row>
    <row r="130" spans="2:15" x14ac:dyDescent="0.25">
      <c r="B130" t="s">
        <v>175</v>
      </c>
      <c r="C130" t="s">
        <v>19</v>
      </c>
      <c r="D130" t="s">
        <v>20</v>
      </c>
      <c r="E130" t="s">
        <v>217</v>
      </c>
      <c r="F130" t="s">
        <v>74</v>
      </c>
      <c r="G130" s="4">
        <v>44643</v>
      </c>
      <c r="H130" s="8">
        <v>111920</v>
      </c>
      <c r="I130">
        <v>90</v>
      </c>
      <c r="J130" t="s">
        <v>25</v>
      </c>
      <c r="K130" t="s">
        <v>199</v>
      </c>
      <c r="L130" s="11">
        <v>4.3</v>
      </c>
      <c r="M130" t="s">
        <v>212</v>
      </c>
      <c r="N130" s="9" t="s">
        <v>334</v>
      </c>
      <c r="O130" s="6">
        <v>8953.6</v>
      </c>
    </row>
    <row r="131" spans="2:15" x14ac:dyDescent="0.25">
      <c r="B131" t="s">
        <v>176</v>
      </c>
      <c r="C131" t="s">
        <v>84</v>
      </c>
      <c r="D131" t="s">
        <v>101</v>
      </c>
      <c r="E131" t="s">
        <v>305</v>
      </c>
      <c r="F131" t="s">
        <v>74</v>
      </c>
      <c r="G131" s="4">
        <v>42944</v>
      </c>
      <c r="H131" s="8">
        <v>115618</v>
      </c>
      <c r="I131">
        <v>42</v>
      </c>
      <c r="J131" t="s">
        <v>38</v>
      </c>
      <c r="K131" t="s">
        <v>199</v>
      </c>
      <c r="L131" s="11">
        <v>8.9</v>
      </c>
      <c r="M131" t="s">
        <v>209</v>
      </c>
      <c r="N131" s="9" t="s">
        <v>332</v>
      </c>
      <c r="O131" s="6">
        <v>0</v>
      </c>
    </row>
    <row r="132" spans="2:15" x14ac:dyDescent="0.25">
      <c r="B132" t="s">
        <v>177</v>
      </c>
      <c r="C132" t="s">
        <v>72</v>
      </c>
      <c r="D132" t="s">
        <v>24</v>
      </c>
      <c r="E132" t="s">
        <v>306</v>
      </c>
      <c r="F132" t="s">
        <v>37</v>
      </c>
      <c r="G132" s="4">
        <v>45057</v>
      </c>
      <c r="H132" s="8">
        <v>110618</v>
      </c>
      <c r="I132">
        <v>88</v>
      </c>
      <c r="J132" t="s">
        <v>86</v>
      </c>
      <c r="K132" t="s">
        <v>203</v>
      </c>
      <c r="L132" s="11">
        <v>3.2</v>
      </c>
      <c r="M132" t="s">
        <v>212</v>
      </c>
      <c r="N132" s="9" t="s">
        <v>334</v>
      </c>
      <c r="O132" s="6">
        <v>8849.44</v>
      </c>
    </row>
    <row r="133" spans="2:15" x14ac:dyDescent="0.25">
      <c r="B133" t="s">
        <v>178</v>
      </c>
      <c r="C133" t="s">
        <v>79</v>
      </c>
      <c r="D133" t="s">
        <v>14</v>
      </c>
      <c r="E133" t="s">
        <v>307</v>
      </c>
      <c r="F133" t="s">
        <v>28</v>
      </c>
      <c r="G133" s="4">
        <v>44639</v>
      </c>
      <c r="H133" s="8">
        <v>108395</v>
      </c>
      <c r="I133">
        <v>78</v>
      </c>
      <c r="J133" t="s">
        <v>25</v>
      </c>
      <c r="K133" t="s">
        <v>204</v>
      </c>
      <c r="L133" s="11">
        <v>4.3</v>
      </c>
      <c r="M133" t="s">
        <v>211</v>
      </c>
      <c r="N133" s="9" t="s">
        <v>333</v>
      </c>
      <c r="O133" s="6">
        <v>5419.75</v>
      </c>
    </row>
    <row r="134" spans="2:15" x14ac:dyDescent="0.25">
      <c r="B134" t="s">
        <v>179</v>
      </c>
      <c r="C134" t="s">
        <v>79</v>
      </c>
      <c r="D134" t="s">
        <v>27</v>
      </c>
      <c r="E134" t="s">
        <v>253</v>
      </c>
      <c r="F134" t="s">
        <v>21</v>
      </c>
      <c r="G134" s="4">
        <v>43091</v>
      </c>
      <c r="H134" s="8">
        <v>88005</v>
      </c>
      <c r="I134">
        <v>69</v>
      </c>
      <c r="J134" t="s">
        <v>38</v>
      </c>
      <c r="K134" t="s">
        <v>201</v>
      </c>
      <c r="L134" s="11">
        <v>8.5</v>
      </c>
      <c r="M134" t="s">
        <v>210</v>
      </c>
      <c r="N134" s="9" t="s">
        <v>331</v>
      </c>
      <c r="O134" s="6">
        <v>1760.1000000000001</v>
      </c>
    </row>
    <row r="135" spans="2:15" x14ac:dyDescent="0.25">
      <c r="B135" t="s">
        <v>180</v>
      </c>
      <c r="C135" t="s">
        <v>43</v>
      </c>
      <c r="D135" t="s">
        <v>99</v>
      </c>
      <c r="E135" t="s">
        <v>308</v>
      </c>
      <c r="F135" t="s">
        <v>15</v>
      </c>
      <c r="G135" s="4">
        <v>44437</v>
      </c>
      <c r="H135" s="8">
        <v>83007</v>
      </c>
      <c r="I135">
        <v>82</v>
      </c>
      <c r="J135" t="s">
        <v>38</v>
      </c>
      <c r="K135" t="s">
        <v>202</v>
      </c>
      <c r="L135" s="11">
        <v>4.9000000000000004</v>
      </c>
      <c r="M135" t="s">
        <v>211</v>
      </c>
      <c r="N135" s="9" t="s">
        <v>333</v>
      </c>
      <c r="O135" s="6">
        <v>4150.3500000000004</v>
      </c>
    </row>
    <row r="136" spans="2:15" x14ac:dyDescent="0.25">
      <c r="B136" t="s">
        <v>181</v>
      </c>
      <c r="C136" t="s">
        <v>84</v>
      </c>
      <c r="D136" t="s">
        <v>51</v>
      </c>
      <c r="E136" t="s">
        <v>309</v>
      </c>
      <c r="F136" t="s">
        <v>11</v>
      </c>
      <c r="G136" s="4">
        <v>43360</v>
      </c>
      <c r="H136" s="8">
        <v>61547</v>
      </c>
      <c r="I136">
        <v>68</v>
      </c>
      <c r="J136" t="s">
        <v>38</v>
      </c>
      <c r="K136" t="s">
        <v>200</v>
      </c>
      <c r="L136" s="11">
        <v>7.8</v>
      </c>
      <c r="M136" t="s">
        <v>210</v>
      </c>
      <c r="N136" s="9" t="s">
        <v>331</v>
      </c>
      <c r="O136" s="6">
        <v>1230.94</v>
      </c>
    </row>
    <row r="137" spans="2:15" x14ac:dyDescent="0.25">
      <c r="B137" t="s">
        <v>182</v>
      </c>
      <c r="C137" t="s">
        <v>53</v>
      </c>
      <c r="D137" t="s">
        <v>30</v>
      </c>
      <c r="E137" t="s">
        <v>310</v>
      </c>
      <c r="F137" t="s">
        <v>37</v>
      </c>
      <c r="G137" s="4">
        <v>44375</v>
      </c>
      <c r="H137" s="8">
        <v>83604</v>
      </c>
      <c r="I137">
        <v>52</v>
      </c>
      <c r="J137" t="s">
        <v>38</v>
      </c>
      <c r="K137" t="s">
        <v>203</v>
      </c>
      <c r="L137" s="11">
        <v>5</v>
      </c>
      <c r="M137" t="s">
        <v>210</v>
      </c>
      <c r="N137" s="9" t="s">
        <v>331</v>
      </c>
      <c r="O137" s="6">
        <v>1672.08</v>
      </c>
    </row>
    <row r="138" spans="2:15" x14ac:dyDescent="0.25">
      <c r="B138" t="s">
        <v>183</v>
      </c>
      <c r="C138" t="s">
        <v>13</v>
      </c>
      <c r="D138" t="s">
        <v>27</v>
      </c>
      <c r="E138" t="s">
        <v>311</v>
      </c>
      <c r="F138" t="s">
        <v>28</v>
      </c>
      <c r="G138" s="4">
        <v>42804</v>
      </c>
      <c r="H138" s="8">
        <v>50399</v>
      </c>
      <c r="I138">
        <v>92</v>
      </c>
      <c r="J138" t="s">
        <v>25</v>
      </c>
      <c r="K138" t="s">
        <v>204</v>
      </c>
      <c r="L138" s="11">
        <v>9.3000000000000007</v>
      </c>
      <c r="M138" t="s">
        <v>212</v>
      </c>
      <c r="N138" s="9" t="s">
        <v>334</v>
      </c>
      <c r="O138" s="6">
        <v>4031.92</v>
      </c>
    </row>
    <row r="139" spans="2:15" x14ac:dyDescent="0.25">
      <c r="B139" t="s">
        <v>184</v>
      </c>
      <c r="C139" t="s">
        <v>13</v>
      </c>
      <c r="D139" t="s">
        <v>44</v>
      </c>
      <c r="E139" t="s">
        <v>312</v>
      </c>
      <c r="F139" t="s">
        <v>21</v>
      </c>
      <c r="G139" s="4">
        <v>42299</v>
      </c>
      <c r="H139" s="8">
        <v>83604</v>
      </c>
      <c r="I139">
        <v>62</v>
      </c>
      <c r="J139" t="s">
        <v>38</v>
      </c>
      <c r="K139" t="s">
        <v>201</v>
      </c>
      <c r="L139" s="11">
        <v>10.7</v>
      </c>
      <c r="M139" t="s">
        <v>210</v>
      </c>
      <c r="N139" s="9" t="s">
        <v>331</v>
      </c>
      <c r="O139" s="6">
        <v>1672.08</v>
      </c>
    </row>
    <row r="140" spans="2:15" x14ac:dyDescent="0.25">
      <c r="B140" t="s">
        <v>185</v>
      </c>
      <c r="C140" t="s">
        <v>19</v>
      </c>
      <c r="D140" t="s">
        <v>14</v>
      </c>
      <c r="E140" t="s">
        <v>313</v>
      </c>
      <c r="F140" t="s">
        <v>28</v>
      </c>
      <c r="G140" s="4">
        <v>43257</v>
      </c>
      <c r="H140" s="8">
        <v>52720</v>
      </c>
      <c r="I140">
        <v>68</v>
      </c>
      <c r="J140" t="s">
        <v>38</v>
      </c>
      <c r="K140" t="s">
        <v>204</v>
      </c>
      <c r="L140" s="11">
        <v>8.1</v>
      </c>
      <c r="M140" t="s">
        <v>210</v>
      </c>
      <c r="N140" s="9" t="s">
        <v>331</v>
      </c>
      <c r="O140" s="6">
        <v>1054.4000000000001</v>
      </c>
    </row>
    <row r="141" spans="2:15" x14ac:dyDescent="0.25">
      <c r="B141" t="s">
        <v>186</v>
      </c>
      <c r="C141" t="s">
        <v>72</v>
      </c>
      <c r="D141" t="s">
        <v>17</v>
      </c>
      <c r="E141" t="s">
        <v>314</v>
      </c>
      <c r="F141" t="s">
        <v>28</v>
      </c>
      <c r="G141" s="4">
        <v>42932</v>
      </c>
      <c r="H141" s="8">
        <v>65065</v>
      </c>
      <c r="I141">
        <v>98</v>
      </c>
      <c r="J141" t="s">
        <v>38</v>
      </c>
      <c r="K141" t="s">
        <v>204</v>
      </c>
      <c r="L141" s="11">
        <v>9</v>
      </c>
      <c r="M141" t="s">
        <v>213</v>
      </c>
      <c r="N141" s="9" t="s">
        <v>335</v>
      </c>
      <c r="O141" s="6">
        <v>7807.7999999999993</v>
      </c>
    </row>
    <row r="142" spans="2:15" x14ac:dyDescent="0.25">
      <c r="B142" t="s">
        <v>187</v>
      </c>
      <c r="C142" t="s">
        <v>79</v>
      </c>
      <c r="D142" t="s">
        <v>14</v>
      </c>
      <c r="E142" t="s">
        <v>307</v>
      </c>
      <c r="F142" t="s">
        <v>37</v>
      </c>
      <c r="G142" s="4">
        <v>42175</v>
      </c>
      <c r="H142" s="8">
        <v>83604</v>
      </c>
      <c r="I142">
        <v>94</v>
      </c>
      <c r="J142" t="s">
        <v>86</v>
      </c>
      <c r="K142" t="s">
        <v>203</v>
      </c>
      <c r="L142" s="11">
        <v>11</v>
      </c>
      <c r="M142" t="s">
        <v>212</v>
      </c>
      <c r="N142" s="9" t="s">
        <v>334</v>
      </c>
      <c r="O142" s="6">
        <v>6688.32</v>
      </c>
    </row>
    <row r="143" spans="2:15" x14ac:dyDescent="0.25">
      <c r="B143" t="s">
        <v>188</v>
      </c>
      <c r="C143" t="s">
        <v>79</v>
      </c>
      <c r="D143" t="s">
        <v>14</v>
      </c>
      <c r="E143" t="s">
        <v>307</v>
      </c>
      <c r="F143" t="s">
        <v>28</v>
      </c>
      <c r="G143" s="4">
        <v>43609</v>
      </c>
      <c r="H143" s="8">
        <v>108119</v>
      </c>
      <c r="I143">
        <v>57</v>
      </c>
      <c r="J143" t="s">
        <v>86</v>
      </c>
      <c r="K143" t="s">
        <v>204</v>
      </c>
      <c r="L143" s="11">
        <v>7.1</v>
      </c>
      <c r="M143" t="s">
        <v>210</v>
      </c>
      <c r="N143" s="9" t="s">
        <v>331</v>
      </c>
      <c r="O143" s="6">
        <v>2162.38</v>
      </c>
    </row>
    <row r="144" spans="2:15" x14ac:dyDescent="0.25">
      <c r="B144" t="s">
        <v>189</v>
      </c>
      <c r="C144" t="s">
        <v>19</v>
      </c>
      <c r="D144" t="s">
        <v>51</v>
      </c>
      <c r="E144" t="s">
        <v>255</v>
      </c>
      <c r="F144" t="s">
        <v>11</v>
      </c>
      <c r="G144" s="4">
        <v>43887</v>
      </c>
      <c r="H144" s="8">
        <v>83604</v>
      </c>
      <c r="I144">
        <v>96</v>
      </c>
      <c r="J144" t="s">
        <v>38</v>
      </c>
      <c r="K144" t="s">
        <v>200</v>
      </c>
      <c r="L144" s="11">
        <v>6.4</v>
      </c>
      <c r="M144" t="s">
        <v>213</v>
      </c>
      <c r="N144" s="9" t="s">
        <v>335</v>
      </c>
      <c r="O144" s="6">
        <v>10032.48</v>
      </c>
    </row>
    <row r="145" spans="2:15" x14ac:dyDescent="0.25">
      <c r="B145" t="s">
        <v>190</v>
      </c>
      <c r="C145" t="s">
        <v>13</v>
      </c>
      <c r="D145" t="s">
        <v>51</v>
      </c>
      <c r="E145" t="s">
        <v>258</v>
      </c>
      <c r="F145" t="s">
        <v>74</v>
      </c>
      <c r="G145" s="4">
        <v>45080</v>
      </c>
      <c r="H145" s="8">
        <v>106896</v>
      </c>
      <c r="I145">
        <v>52</v>
      </c>
      <c r="J145" t="s">
        <v>25</v>
      </c>
      <c r="K145" t="s">
        <v>199</v>
      </c>
      <c r="L145" s="11">
        <v>3.1</v>
      </c>
      <c r="M145" t="s">
        <v>210</v>
      </c>
      <c r="N145" s="9" t="s">
        <v>331</v>
      </c>
      <c r="O145" s="6">
        <v>2137.92</v>
      </c>
    </row>
    <row r="146" spans="2:15" x14ac:dyDescent="0.25">
      <c r="B146" t="s">
        <v>191</v>
      </c>
      <c r="C146" t="s">
        <v>48</v>
      </c>
      <c r="D146" t="s">
        <v>48</v>
      </c>
      <c r="E146" t="s">
        <v>324</v>
      </c>
      <c r="F146" t="s">
        <v>11</v>
      </c>
      <c r="G146" s="4">
        <v>43477</v>
      </c>
      <c r="H146" s="8">
        <v>112887</v>
      </c>
      <c r="I146">
        <v>59</v>
      </c>
      <c r="J146" t="s">
        <v>38</v>
      </c>
      <c r="K146" t="s">
        <v>200</v>
      </c>
      <c r="L146" s="11">
        <v>7.5</v>
      </c>
      <c r="M146" t="s">
        <v>210</v>
      </c>
      <c r="N146" s="9" t="s">
        <v>331</v>
      </c>
      <c r="O146" s="6">
        <v>2257.7400000000002</v>
      </c>
    </row>
    <row r="147" spans="2:15" x14ac:dyDescent="0.25">
      <c r="B147" t="s">
        <v>192</v>
      </c>
      <c r="C147" t="s">
        <v>117</v>
      </c>
      <c r="D147" t="s">
        <v>34</v>
      </c>
      <c r="E147" t="s">
        <v>315</v>
      </c>
      <c r="F147" t="s">
        <v>21</v>
      </c>
      <c r="G147" s="4">
        <v>45037</v>
      </c>
      <c r="H147" s="8">
        <v>85457</v>
      </c>
      <c r="I147">
        <v>79</v>
      </c>
      <c r="J147" t="s">
        <v>38</v>
      </c>
      <c r="K147" t="s">
        <v>201</v>
      </c>
      <c r="L147" s="11">
        <v>3.2</v>
      </c>
      <c r="M147" t="s">
        <v>211</v>
      </c>
      <c r="N147" s="9" t="s">
        <v>333</v>
      </c>
      <c r="O147" s="6">
        <v>4272.8500000000004</v>
      </c>
    </row>
    <row r="148" spans="2:15" x14ac:dyDescent="0.25">
      <c r="B148" t="s">
        <v>193</v>
      </c>
      <c r="C148" t="s">
        <v>79</v>
      </c>
      <c r="D148" t="s">
        <v>40</v>
      </c>
      <c r="E148" t="s">
        <v>316</v>
      </c>
      <c r="F148" t="s">
        <v>37</v>
      </c>
      <c r="G148" s="4">
        <v>42519</v>
      </c>
      <c r="H148" s="8">
        <v>62798</v>
      </c>
      <c r="I148">
        <v>30</v>
      </c>
      <c r="J148" t="s">
        <v>38</v>
      </c>
      <c r="K148" t="s">
        <v>203</v>
      </c>
      <c r="L148" s="11">
        <v>10.1</v>
      </c>
      <c r="M148" t="s">
        <v>209</v>
      </c>
      <c r="N148" s="9" t="s">
        <v>332</v>
      </c>
      <c r="O148" s="6">
        <v>0</v>
      </c>
    </row>
    <row r="149" spans="2:15" x14ac:dyDescent="0.25">
      <c r="B149" t="s">
        <v>194</v>
      </c>
      <c r="C149" t="s">
        <v>9</v>
      </c>
      <c r="D149" t="s">
        <v>20</v>
      </c>
      <c r="E149" t="s">
        <v>317</v>
      </c>
      <c r="F149" t="s">
        <v>28</v>
      </c>
      <c r="G149" s="4">
        <v>44711</v>
      </c>
      <c r="H149" s="8">
        <v>47794</v>
      </c>
      <c r="I149">
        <v>73</v>
      </c>
      <c r="J149" t="s">
        <v>25</v>
      </c>
      <c r="K149" t="s">
        <v>204</v>
      </c>
      <c r="L149" s="11">
        <v>4.0999999999999996</v>
      </c>
      <c r="M149" t="s">
        <v>211</v>
      </c>
      <c r="N149" s="9" t="s">
        <v>333</v>
      </c>
      <c r="O149" s="6">
        <v>2389.7000000000003</v>
      </c>
    </row>
    <row r="150" spans="2:15" x14ac:dyDescent="0.25">
      <c r="B150" t="s">
        <v>195</v>
      </c>
      <c r="C150" t="s">
        <v>53</v>
      </c>
      <c r="D150" t="s">
        <v>34</v>
      </c>
      <c r="E150" t="s">
        <v>299</v>
      </c>
      <c r="F150" t="s">
        <v>15</v>
      </c>
      <c r="G150" s="4">
        <v>42440</v>
      </c>
      <c r="H150" s="8">
        <v>93094</v>
      </c>
      <c r="I150">
        <v>74</v>
      </c>
      <c r="J150" t="s">
        <v>38</v>
      </c>
      <c r="K150" t="s">
        <v>202</v>
      </c>
      <c r="L150" s="11">
        <v>10.3</v>
      </c>
      <c r="M150" t="s">
        <v>211</v>
      </c>
      <c r="N150" s="9" t="s">
        <v>333</v>
      </c>
      <c r="O150" s="6">
        <v>4654.7</v>
      </c>
    </row>
    <row r="151" spans="2:15" x14ac:dyDescent="0.25">
      <c r="B151" t="s">
        <v>196</v>
      </c>
      <c r="C151" t="s">
        <v>58</v>
      </c>
      <c r="D151" t="s">
        <v>10</v>
      </c>
      <c r="E151" t="s">
        <v>296</v>
      </c>
      <c r="F151" t="s">
        <v>11</v>
      </c>
      <c r="G151" s="4">
        <v>44848</v>
      </c>
      <c r="H151" s="8">
        <v>118634</v>
      </c>
      <c r="I151">
        <v>91</v>
      </c>
      <c r="J151" t="s">
        <v>38</v>
      </c>
      <c r="K151" t="s">
        <v>200</v>
      </c>
      <c r="L151" s="11">
        <v>3.7</v>
      </c>
      <c r="M151" t="s">
        <v>212</v>
      </c>
      <c r="N151" s="9" t="s">
        <v>334</v>
      </c>
      <c r="O151" s="6">
        <v>9490.7199999999993</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5626-5A71-45B5-932A-23C704B51D8C}">
  <dimension ref="A1:L37"/>
  <sheetViews>
    <sheetView topLeftCell="A4" workbookViewId="0">
      <selection activeCell="F11" sqref="F11:G14"/>
    </sheetView>
  </sheetViews>
  <sheetFormatPr defaultRowHeight="15" x14ac:dyDescent="0.25"/>
  <cols>
    <col min="1" max="1" width="16.28515625" bestFit="1" customWidth="1"/>
    <col min="2" max="2" width="16.42578125" bestFit="1" customWidth="1"/>
    <col min="3" max="3" width="22.5703125" bestFit="1" customWidth="1"/>
    <col min="4" max="4" width="16.42578125" bestFit="1" customWidth="1"/>
    <col min="5" max="5" width="26.28515625" bestFit="1" customWidth="1"/>
    <col min="6" max="6" width="22.5703125" bestFit="1" customWidth="1"/>
    <col min="7" max="7" width="17.42578125" bestFit="1" customWidth="1"/>
    <col min="8" max="8" width="18.42578125" bestFit="1" customWidth="1"/>
    <col min="9" max="9" width="10.140625" bestFit="1" customWidth="1"/>
    <col min="10" max="10" width="10.85546875" bestFit="1" customWidth="1"/>
    <col min="11" max="11" width="7.140625" bestFit="1" customWidth="1"/>
    <col min="12" max="12" width="18.42578125" bestFit="1" customWidth="1"/>
    <col min="13" max="13" width="16.85546875" bestFit="1" customWidth="1"/>
    <col min="14" max="14" width="22.5703125" bestFit="1" customWidth="1"/>
    <col min="15" max="15" width="10.140625" bestFit="1" customWidth="1"/>
    <col min="16" max="16" width="10.85546875" bestFit="1" customWidth="1"/>
    <col min="17" max="17" width="5.5703125" bestFit="1" customWidth="1"/>
    <col min="18" max="18" width="22.42578125" bestFit="1" customWidth="1"/>
    <col min="19" max="19" width="23.42578125" bestFit="1" customWidth="1"/>
    <col min="20" max="22" width="26.7109375" bestFit="1" customWidth="1"/>
    <col min="23" max="23" width="22.42578125" bestFit="1" customWidth="1"/>
    <col min="24" max="24" width="31.7109375" bestFit="1" customWidth="1"/>
    <col min="25" max="25" width="23.42578125" bestFit="1" customWidth="1"/>
    <col min="26" max="29" width="4" bestFit="1" customWidth="1"/>
    <col min="30" max="30" width="3" bestFit="1" customWidth="1"/>
    <col min="31" max="31" width="4" bestFit="1" customWidth="1"/>
    <col min="32" max="32" width="3" bestFit="1" customWidth="1"/>
    <col min="33" max="33" width="4" bestFit="1" customWidth="1"/>
    <col min="34" max="34" width="3" bestFit="1" customWidth="1"/>
    <col min="35" max="39" width="4" bestFit="1" customWidth="1"/>
    <col min="40" max="40" width="3" bestFit="1" customWidth="1"/>
    <col min="41" max="47" width="4" bestFit="1" customWidth="1"/>
    <col min="48" max="48" width="3" bestFit="1" customWidth="1"/>
    <col min="49" max="49" width="4" bestFit="1" customWidth="1"/>
    <col min="50" max="50" width="3" bestFit="1" customWidth="1"/>
    <col min="51" max="55" width="4" bestFit="1" customWidth="1"/>
    <col min="56" max="56" width="3" bestFit="1" customWidth="1"/>
    <col min="57" max="60" width="4" bestFit="1" customWidth="1"/>
    <col min="61" max="61" width="3" bestFit="1" customWidth="1"/>
    <col min="62" max="62" width="4" bestFit="1" customWidth="1"/>
    <col min="63" max="63" width="3" bestFit="1" customWidth="1"/>
    <col min="64" max="64" width="11.28515625" bestFit="1" customWidth="1"/>
    <col min="65" max="66" width="8" bestFit="1" customWidth="1"/>
    <col min="67" max="67" width="9" bestFit="1" customWidth="1"/>
    <col min="68" max="68" width="8" bestFit="1" customWidth="1"/>
    <col min="69" max="70" width="7" bestFit="1" customWidth="1"/>
    <col min="71" max="71" width="8" bestFit="1" customWidth="1"/>
    <col min="72" max="72" width="7" bestFit="1" customWidth="1"/>
    <col min="73" max="78" width="8" bestFit="1" customWidth="1"/>
    <col min="79" max="79" width="11.28515625" bestFit="1" customWidth="1"/>
  </cols>
  <sheetData>
    <row r="1" spans="1:12" x14ac:dyDescent="0.25">
      <c r="A1" t="s">
        <v>339</v>
      </c>
      <c r="B1" t="s">
        <v>340</v>
      </c>
      <c r="C1" s="19" t="s">
        <v>361</v>
      </c>
      <c r="D1" t="s">
        <v>340</v>
      </c>
      <c r="F1" s="19" t="s">
        <v>328</v>
      </c>
      <c r="G1" t="s">
        <v>343</v>
      </c>
      <c r="I1" s="22" t="s">
        <v>7</v>
      </c>
      <c r="J1" s="22" t="s">
        <v>326</v>
      </c>
      <c r="K1" s="23" t="s">
        <v>344</v>
      </c>
      <c r="L1" s="23" t="s">
        <v>345</v>
      </c>
    </row>
    <row r="2" spans="1:12" x14ac:dyDescent="0.25">
      <c r="A2" s="3">
        <v>150</v>
      </c>
      <c r="B2" s="27">
        <v>83603.94</v>
      </c>
      <c r="C2" s="20" t="s">
        <v>201</v>
      </c>
      <c r="D2" s="10">
        <v>87173.588235294112</v>
      </c>
      <c r="F2" s="20" t="s">
        <v>209</v>
      </c>
      <c r="G2" s="8">
        <v>0</v>
      </c>
      <c r="I2" s="23" t="s">
        <v>38</v>
      </c>
      <c r="J2" s="23" t="s">
        <v>201</v>
      </c>
      <c r="K2" s="26">
        <v>9.3722456174713545E-2</v>
      </c>
      <c r="L2" s="25">
        <v>957</v>
      </c>
    </row>
    <row r="3" spans="1:12" x14ac:dyDescent="0.25">
      <c r="C3" s="20" t="s">
        <v>203</v>
      </c>
      <c r="D3" s="10">
        <v>86333.096774193546</v>
      </c>
      <c r="F3" s="20" t="s">
        <v>213</v>
      </c>
      <c r="G3" s="8">
        <v>75846.12</v>
      </c>
      <c r="I3" s="23"/>
      <c r="J3" s="23" t="s">
        <v>199</v>
      </c>
      <c r="K3" s="26">
        <v>0.10273234746841642</v>
      </c>
      <c r="L3" s="25">
        <v>1049</v>
      </c>
    </row>
    <row r="4" spans="1:12" x14ac:dyDescent="0.25">
      <c r="C4" s="20" t="s">
        <v>199</v>
      </c>
      <c r="D4" s="10">
        <v>85536.277777777781</v>
      </c>
      <c r="F4" s="20" t="s">
        <v>210</v>
      </c>
      <c r="G4" s="8">
        <v>84665.580000000031</v>
      </c>
      <c r="I4" s="23"/>
      <c r="J4" s="23" t="s">
        <v>200</v>
      </c>
      <c r="K4" s="26">
        <v>0.18440897071785328</v>
      </c>
      <c r="L4" s="25">
        <v>1883</v>
      </c>
    </row>
    <row r="5" spans="1:12" x14ac:dyDescent="0.25">
      <c r="C5" s="20" t="s">
        <v>202</v>
      </c>
      <c r="D5" s="10">
        <v>85407.947368421053</v>
      </c>
      <c r="F5" s="20" t="s">
        <v>211</v>
      </c>
      <c r="G5" s="8">
        <v>154412.05000000002</v>
      </c>
      <c r="I5" s="23"/>
      <c r="J5" s="23" t="s">
        <v>202</v>
      </c>
      <c r="K5" s="26">
        <v>0.11703065321711879</v>
      </c>
      <c r="L5" s="25">
        <v>1195</v>
      </c>
    </row>
    <row r="6" spans="1:12" x14ac:dyDescent="0.25">
      <c r="C6" s="20" t="s">
        <v>200</v>
      </c>
      <c r="D6" s="10">
        <v>80512.833333333328</v>
      </c>
      <c r="F6" s="20" t="s">
        <v>212</v>
      </c>
      <c r="G6" s="8">
        <v>155733.04</v>
      </c>
      <c r="I6" s="23"/>
      <c r="J6" s="23" t="s">
        <v>204</v>
      </c>
      <c r="K6" s="26">
        <v>0.12241700127313682</v>
      </c>
      <c r="L6" s="25">
        <v>1250</v>
      </c>
    </row>
    <row r="7" spans="1:12" x14ac:dyDescent="0.25">
      <c r="C7" s="20" t="s">
        <v>204</v>
      </c>
      <c r="D7" s="10">
        <v>80049.931034482754</v>
      </c>
      <c r="F7" s="20" t="s">
        <v>337</v>
      </c>
      <c r="G7" s="8">
        <v>470656.79000000004</v>
      </c>
      <c r="I7" s="23"/>
      <c r="J7" s="23" t="s">
        <v>203</v>
      </c>
      <c r="K7" s="26">
        <v>0.14925080795220841</v>
      </c>
      <c r="L7" s="25">
        <v>1524</v>
      </c>
    </row>
    <row r="8" spans="1:12" x14ac:dyDescent="0.25">
      <c r="C8" s="20" t="s">
        <v>337</v>
      </c>
      <c r="D8" s="10">
        <v>83603.94</v>
      </c>
      <c r="I8" s="23" t="s">
        <v>346</v>
      </c>
      <c r="J8" s="23"/>
      <c r="K8" s="26">
        <v>0.76956223680344726</v>
      </c>
      <c r="L8" s="25">
        <v>7858</v>
      </c>
    </row>
    <row r="9" spans="1:12" x14ac:dyDescent="0.25">
      <c r="I9" s="23" t="s">
        <v>25</v>
      </c>
      <c r="J9" s="23" t="s">
        <v>201</v>
      </c>
      <c r="K9" s="26">
        <v>2.105572421897953E-2</v>
      </c>
      <c r="L9" s="25">
        <v>215</v>
      </c>
    </row>
    <row r="10" spans="1:12" x14ac:dyDescent="0.25">
      <c r="A10" s="19" t="s">
        <v>341</v>
      </c>
      <c r="B10" s="19" t="s">
        <v>338</v>
      </c>
      <c r="I10" s="23"/>
      <c r="J10" s="23" t="s">
        <v>199</v>
      </c>
      <c r="K10" s="26">
        <v>1.3906571344628343E-2</v>
      </c>
      <c r="L10" s="25">
        <v>142</v>
      </c>
    </row>
    <row r="11" spans="1:12" x14ac:dyDescent="0.25">
      <c r="A11" s="19" t="s">
        <v>326</v>
      </c>
      <c r="B11" t="s">
        <v>25</v>
      </c>
      <c r="C11" t="s">
        <v>342</v>
      </c>
      <c r="D11" t="s">
        <v>360</v>
      </c>
      <c r="F11" s="19" t="s">
        <v>7</v>
      </c>
      <c r="G11" t="s">
        <v>349</v>
      </c>
      <c r="I11" s="23"/>
      <c r="J11" s="23" t="s">
        <v>200</v>
      </c>
      <c r="K11" s="26">
        <v>3.045734991675644E-2</v>
      </c>
      <c r="L11" s="25">
        <v>311</v>
      </c>
    </row>
    <row r="12" spans="1:12" x14ac:dyDescent="0.25">
      <c r="A12" s="20" t="s">
        <v>204</v>
      </c>
      <c r="B12" s="21">
        <v>0.25</v>
      </c>
      <c r="C12" s="21">
        <v>0.25</v>
      </c>
      <c r="D12" s="21">
        <f>Left+resigned</f>
        <v>0.23043776319655274</v>
      </c>
      <c r="F12" s="20" t="s">
        <v>38</v>
      </c>
      <c r="G12" s="11">
        <v>67.741379310344826</v>
      </c>
      <c r="I12" s="23"/>
      <c r="J12" s="23" t="s">
        <v>202</v>
      </c>
      <c r="K12" s="26">
        <v>1.9194985799627851E-2</v>
      </c>
      <c r="L12" s="25">
        <v>196</v>
      </c>
    </row>
    <row r="13" spans="1:12" x14ac:dyDescent="0.25">
      <c r="A13" s="20" t="s">
        <v>200</v>
      </c>
      <c r="B13" s="21">
        <v>0.25</v>
      </c>
      <c r="C13" s="21">
        <v>0.25</v>
      </c>
      <c r="F13" s="20" t="s">
        <v>25</v>
      </c>
      <c r="G13" s="11">
        <v>66.208333333333329</v>
      </c>
      <c r="I13" s="23"/>
      <c r="J13" s="23" t="s">
        <v>204</v>
      </c>
      <c r="K13" s="26">
        <v>4.3384585251199689E-2</v>
      </c>
      <c r="L13" s="25">
        <v>443</v>
      </c>
    </row>
    <row r="14" spans="1:12" x14ac:dyDescent="0.25">
      <c r="A14" s="20" t="s">
        <v>203</v>
      </c>
      <c r="B14" s="21">
        <v>0.16666666666666666</v>
      </c>
      <c r="C14" s="21">
        <v>0.16666666666666666</v>
      </c>
      <c r="F14" s="20" t="s">
        <v>337</v>
      </c>
      <c r="G14" s="11">
        <v>67.478571428571428</v>
      </c>
      <c r="I14" s="23"/>
      <c r="J14" s="23" t="s">
        <v>203</v>
      </c>
      <c r="K14" s="26">
        <v>2.7617275487219664E-2</v>
      </c>
      <c r="L14" s="25">
        <v>282</v>
      </c>
    </row>
    <row r="15" spans="1:12" x14ac:dyDescent="0.25">
      <c r="A15" s="20" t="s">
        <v>201</v>
      </c>
      <c r="B15" s="21">
        <v>0.125</v>
      </c>
      <c r="C15" s="21">
        <v>0.125</v>
      </c>
      <c r="I15" s="23" t="s">
        <v>347</v>
      </c>
      <c r="J15" s="23"/>
      <c r="K15" s="26">
        <v>0.15561649201841152</v>
      </c>
      <c r="L15" s="25">
        <v>1589</v>
      </c>
    </row>
    <row r="16" spans="1:12" x14ac:dyDescent="0.25">
      <c r="A16" s="20" t="s">
        <v>202</v>
      </c>
      <c r="B16" s="21">
        <v>0.125</v>
      </c>
      <c r="C16" s="21">
        <v>0.125</v>
      </c>
      <c r="I16" s="23" t="s">
        <v>86</v>
      </c>
      <c r="J16" s="23" t="s">
        <v>199</v>
      </c>
      <c r="K16" s="26">
        <v>8.5202232886103218E-3</v>
      </c>
      <c r="L16" s="25">
        <v>87</v>
      </c>
    </row>
    <row r="17" spans="1:12" x14ac:dyDescent="0.25">
      <c r="A17" s="20" t="s">
        <v>199</v>
      </c>
      <c r="B17" s="21">
        <v>8.3333333333333329E-2</v>
      </c>
      <c r="C17" s="21">
        <v>8.3333333333333329E-2</v>
      </c>
      <c r="I17" s="23"/>
      <c r="J17" s="23" t="s">
        <v>200</v>
      </c>
      <c r="K17" s="26">
        <v>1.5669376162961511E-2</v>
      </c>
      <c r="L17" s="25">
        <v>160</v>
      </c>
    </row>
    <row r="18" spans="1:12" x14ac:dyDescent="0.25">
      <c r="A18" s="20" t="s">
        <v>342</v>
      </c>
      <c r="B18" s="21">
        <v>1</v>
      </c>
      <c r="C18" s="21">
        <v>1</v>
      </c>
      <c r="I18" s="23"/>
      <c r="J18" s="23" t="s">
        <v>204</v>
      </c>
      <c r="K18" s="26">
        <v>3.2807756341200665E-2</v>
      </c>
      <c r="L18" s="25">
        <v>335</v>
      </c>
    </row>
    <row r="19" spans="1:12" x14ac:dyDescent="0.25">
      <c r="I19" s="23"/>
      <c r="J19" s="23" t="s">
        <v>203</v>
      </c>
      <c r="K19" s="26">
        <v>1.7823915385368719E-2</v>
      </c>
      <c r="L19" s="25">
        <v>182</v>
      </c>
    </row>
    <row r="20" spans="1:12" x14ac:dyDescent="0.25">
      <c r="I20" s="23" t="s">
        <v>348</v>
      </c>
      <c r="J20" s="23"/>
      <c r="K20" s="26">
        <v>7.4821271178141219E-2</v>
      </c>
      <c r="L20" s="25">
        <v>764</v>
      </c>
    </row>
    <row r="21" spans="1:12" x14ac:dyDescent="0.25">
      <c r="I21" s="23" t="s">
        <v>337</v>
      </c>
      <c r="J21" s="23"/>
      <c r="K21" s="24">
        <v>1</v>
      </c>
      <c r="L21" s="25">
        <v>10211</v>
      </c>
    </row>
    <row r="27" spans="1:12" x14ac:dyDescent="0.25">
      <c r="A27" s="19" t="s">
        <v>4</v>
      </c>
      <c r="B27" t="s">
        <v>359</v>
      </c>
    </row>
    <row r="28" spans="1:12" x14ac:dyDescent="0.25">
      <c r="A28" s="20" t="s">
        <v>350</v>
      </c>
      <c r="B28" s="8">
        <v>1140272</v>
      </c>
    </row>
    <row r="29" spans="1:12" x14ac:dyDescent="0.25">
      <c r="A29" s="20" t="s">
        <v>351</v>
      </c>
      <c r="B29" s="8">
        <v>1420219</v>
      </c>
    </row>
    <row r="30" spans="1:12" x14ac:dyDescent="0.25">
      <c r="A30" s="20" t="s">
        <v>352</v>
      </c>
      <c r="B30" s="8">
        <v>1558168</v>
      </c>
    </row>
    <row r="31" spans="1:12" x14ac:dyDescent="0.25">
      <c r="A31" s="20" t="s">
        <v>353</v>
      </c>
      <c r="B31" s="8">
        <v>1414314</v>
      </c>
    </row>
    <row r="32" spans="1:12" x14ac:dyDescent="0.25">
      <c r="A32" s="20" t="s">
        <v>354</v>
      </c>
      <c r="B32" s="8">
        <v>1295150</v>
      </c>
    </row>
    <row r="33" spans="1:2" x14ac:dyDescent="0.25">
      <c r="A33" s="20" t="s">
        <v>355</v>
      </c>
      <c r="B33" s="8">
        <v>1529763</v>
      </c>
    </row>
    <row r="34" spans="1:2" x14ac:dyDescent="0.25">
      <c r="A34" s="20" t="s">
        <v>356</v>
      </c>
      <c r="B34" s="8">
        <v>1227676</v>
      </c>
    </row>
    <row r="35" spans="1:2" x14ac:dyDescent="0.25">
      <c r="A35" s="20" t="s">
        <v>357</v>
      </c>
      <c r="B35" s="8">
        <v>1596642</v>
      </c>
    </row>
    <row r="36" spans="1:2" x14ac:dyDescent="0.25">
      <c r="A36" s="20" t="s">
        <v>358</v>
      </c>
      <c r="B36" s="8">
        <v>1358387</v>
      </c>
    </row>
    <row r="37" spans="1:2" x14ac:dyDescent="0.25">
      <c r="A37" s="20" t="s">
        <v>337</v>
      </c>
      <c r="B37" s="8">
        <v>12540591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0EE0-70E9-482E-B849-196312EF12BF}">
  <dimension ref="A1"/>
  <sheetViews>
    <sheetView showGridLines="0" topLeftCell="C2" zoomScale="93" zoomScaleNormal="93" workbookViewId="0">
      <selection activeCell="U33" sqref="U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sheetData>
    <row r="1" spans="1:4" x14ac:dyDescent="0.25">
      <c r="A1" s="1" t="s">
        <v>205</v>
      </c>
      <c r="B1" s="1" t="s">
        <v>206</v>
      </c>
      <c r="C1" s="1" t="s">
        <v>207</v>
      </c>
      <c r="D1" s="1" t="s">
        <v>208</v>
      </c>
    </row>
    <row r="2" spans="1:4" x14ac:dyDescent="0.25">
      <c r="A2">
        <v>0</v>
      </c>
      <c r="B2">
        <v>49</v>
      </c>
      <c r="C2" t="s">
        <v>209</v>
      </c>
      <c r="D2">
        <v>0</v>
      </c>
    </row>
    <row r="3" spans="1:4" x14ac:dyDescent="0.25">
      <c r="A3">
        <v>50</v>
      </c>
      <c r="B3">
        <v>69</v>
      </c>
      <c r="C3" t="s">
        <v>210</v>
      </c>
      <c r="D3">
        <v>0.02</v>
      </c>
    </row>
    <row r="4" spans="1:4" x14ac:dyDescent="0.25">
      <c r="A4">
        <v>70</v>
      </c>
      <c r="B4">
        <v>84</v>
      </c>
      <c r="C4" t="s">
        <v>211</v>
      </c>
      <c r="D4">
        <v>0.05</v>
      </c>
    </row>
    <row r="5" spans="1:4" x14ac:dyDescent="0.25">
      <c r="A5">
        <v>85</v>
      </c>
      <c r="B5">
        <v>94</v>
      </c>
      <c r="C5" t="s">
        <v>212</v>
      </c>
      <c r="D5">
        <v>0.08</v>
      </c>
    </row>
    <row r="6" spans="1:4" x14ac:dyDescent="0.25">
      <c r="A6">
        <v>95</v>
      </c>
      <c r="B6">
        <v>100</v>
      </c>
      <c r="C6" t="s">
        <v>213</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Lookup_Departments</vt:lpstr>
      <vt:lpstr>Raw_Employee_Data</vt:lpstr>
      <vt:lpstr>Clean Data</vt:lpstr>
      <vt:lpstr>Analysis</vt:lpstr>
      <vt:lpstr>HR Dashboard</vt:lpstr>
      <vt:lpstr>Lookup_Performance</vt:lpstr>
      <vt:lpstr>Averagesalary</vt:lpstr>
      <vt:lpstr>HEADCOUNT</vt:lpstr>
      <vt:lpstr>Left</vt:lpstr>
      <vt:lpstr>rate</vt:lpstr>
      <vt:lpstr>resigned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FUNMILAYO ADEDEJI</cp:lastModifiedBy>
  <dcterms:created xsi:type="dcterms:W3CDTF">2026-06-04T20:20:01Z</dcterms:created>
  <dcterms:modified xsi:type="dcterms:W3CDTF">2026-07-08T19:15:33Z</dcterms:modified>
</cp:coreProperties>
</file>